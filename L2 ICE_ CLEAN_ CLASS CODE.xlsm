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a\Desktop\Cours Raleigh\VBA foundations for Finance\L2\"/>
    </mc:Choice>
  </mc:AlternateContent>
  <xr:revisionPtr revIDLastSave="0" documentId="13_ncr:1_{494E8ACA-6991-41D7-B850-CD678AFCEF0F}" xr6:coauthVersionLast="45" xr6:coauthVersionMax="47" xr10:uidLastSave="{00000000-0000-0000-0000-000000000000}"/>
  <bookViews>
    <workbookView xWindow="4416" yWindow="3036" windowWidth="17280" windowHeight="8964" firstSheet="2" activeTab="3" xr2:uid="{00000000-000D-0000-FFFF-FFFF00000000}"/>
  </bookViews>
  <sheets>
    <sheet name="Sales Commision" sheetId="12" r:id="rId1"/>
    <sheet name="CaseSelect" sheetId="11" r:id="rId2"/>
    <sheet name="User defined function" sheetId="3" r:id="rId3"/>
    <sheet name="ByVal vs. ByRef" sheetId="9" r:id="rId4"/>
  </sheets>
  <functionGroups builtInGroupCount="19"/>
  <definedNames>
    <definedName name="days" localSheetId="1">#REF!</definedName>
    <definedName name="days" localSheetId="0">#REF!</definedName>
    <definedName name="days">#REF!</definedName>
    <definedName name="days1" localSheetId="1">#REF!</definedName>
    <definedName name="days1" localSheetId="0">#REF!</definedName>
    <definedName name="days1">#REF!</definedName>
    <definedName name="GDP">#REF!</definedName>
    <definedName name="_xlnm.Print_Area" localSheetId="3">'ByVal vs. ByRef'!$A$1:$P$8</definedName>
    <definedName name="_xlnm.Print_Area" localSheetId="1">CaseSelect!$A$1:$I$21</definedName>
    <definedName name="_xlnm.Print_Area" localSheetId="0">'Sales Commision'!$A$1:$I$9</definedName>
    <definedName name="_xlnm.Print_Area" localSheetId="2">'User defined function'!$A$1:$Q$22</definedName>
    <definedName name="rate" localSheetId="1">#REF!</definedName>
    <definedName name="rate" localSheetId="0">#REF!</definedName>
    <definedName name="rate">#REF!</definedName>
    <definedName name="rate1" localSheetId="1">#REF!</definedName>
    <definedName name="rate1" localSheetId="0">#REF!</definedName>
    <definedName name="rate1">#REF!</definedName>
    <definedName name="scenario">CaseSelect!$A$8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0" i="3" l="1"/>
  <c r="P13" i="3"/>
  <c r="P14" i="3" s="1"/>
  <c r="P15" i="3" s="1"/>
  <c r="P16" i="3" s="1"/>
  <c r="P17" i="3" s="1"/>
  <c r="P18" i="3" s="1"/>
  <c r="P19" i="3" s="1"/>
  <c r="P20" i="3" s="1"/>
  <c r="N19" i="3" a="1"/>
  <c r="N19" i="3" l="1"/>
  <c r="B3" i="11"/>
  <c r="C3" i="11" s="1"/>
  <c r="B4" i="11"/>
  <c r="C4" i="11" s="1"/>
  <c r="B2" i="11"/>
  <c r="C2" i="11" s="1"/>
  <c r="N11" i="3" a="1"/>
  <c r="M4" i="3" a="1"/>
  <c r="M5" i="3" a="1"/>
  <c r="M6" i="3" a="1"/>
  <c r="M7" i="3" a="1"/>
  <c r="N11" i="3" l="1"/>
  <c r="M7" i="3"/>
  <c r="M6" i="3"/>
  <c r="M5" i="3"/>
  <c r="M4" i="3"/>
  <c r="Q11" i="3" l="1"/>
  <c r="N15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<sst xmlns="http://schemas.openxmlformats.org/spreadsheetml/2006/main" count="53" uniqueCount="45">
  <si>
    <t>Create UDF to solve for area of rectangle:</t>
  </si>
  <si>
    <t>Create UDF to find FV given continuous compounding:</t>
  </si>
  <si>
    <t>Present Value</t>
  </si>
  <si>
    <t>Annual rate</t>
  </si>
  <si>
    <t>No. periods</t>
  </si>
  <si>
    <t>Years</t>
  </si>
  <si>
    <t>ByVal v ByRef Ex.</t>
  </si>
  <si>
    <t>ByVal</t>
  </si>
  <si>
    <t>ByRef</t>
  </si>
  <si>
    <t>Case Number</t>
  </si>
  <si>
    <t>Score</t>
  </si>
  <si>
    <t>Range</t>
  </si>
  <si>
    <t>Outcome</t>
  </si>
  <si>
    <t>Insufficient</t>
  </si>
  <si>
    <t>&gt;= 80</t>
  </si>
  <si>
    <t>Very good</t>
  </si>
  <si>
    <t>&gt;= 70</t>
  </si>
  <si>
    <t>Good</t>
  </si>
  <si>
    <t>&gt;= 60</t>
  </si>
  <si>
    <t>Sufficient</t>
  </si>
  <si>
    <t>Else</t>
  </si>
  <si>
    <t>Create UDF to solve for future value, A, given a compounding frequency and an annual interest rate:</t>
  </si>
  <si>
    <t>IF-THEN TIME</t>
  </si>
  <si>
    <t xml:space="preserve">Excel </t>
  </si>
  <si>
    <t>Monthly Sales</t>
  </si>
  <si>
    <t>With incentive</t>
  </si>
  <si>
    <t>Without incentive</t>
  </si>
  <si>
    <t>Incentive: +1% to commission per year</t>
  </si>
  <si>
    <t>Min</t>
  </si>
  <si>
    <t>Max</t>
  </si>
  <si>
    <t>Commission Rate</t>
  </si>
  <si>
    <t>Current Sales</t>
  </si>
  <si>
    <t>Total $ Commission</t>
  </si>
  <si>
    <t>length</t>
  </si>
  <si>
    <t>width</t>
  </si>
  <si>
    <t>Parameters</t>
  </si>
  <si>
    <t>time (in years)</t>
  </si>
  <si>
    <t>annual rate</t>
  </si>
  <si>
    <t>present value</t>
  </si>
  <si>
    <t>no. periods</t>
  </si>
  <si>
    <t>area</t>
  </si>
  <si>
    <t>Between 1 and 5, inclusive</t>
  </si>
  <si>
    <t>Sufficient.</t>
  </si>
  <si>
    <t>FV</t>
  </si>
  <si>
    <t>FUTURE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</si>
</sst>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0.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quotePrefix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4" fontId="0" fillId="0" borderId="0" xfId="0" applyNumberFormat="1"/>
    <xf numFmtId="14" fontId="1" fillId="0" borderId="0" xfId="0" quotePrefix="1" applyNumberFormat="1" applyFont="1"/>
    <xf numFmtId="0" fontId="0" fillId="0" borderId="0" xfId="0" quotePrefix="1"/>
    <xf numFmtId="0" fontId="1" fillId="0" borderId="0" xfId="0" applyFont="1"/>
    <xf numFmtId="2" fontId="1" fillId="0" borderId="0" xfId="0" applyNumberFormat="1" applyFont="1"/>
    <xf numFmtId="0" fontId="2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/>
    <xf numFmtId="18" fontId="5" fillId="0" borderId="0" xfId="0" applyNumberFormat="1" applyFont="1"/>
    <xf numFmtId="0" fontId="5" fillId="0" borderId="0" xfId="0" applyNumberFormat="1" applyFont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2" fillId="0" borderId="0" xfId="0" quotePrefix="1" applyFont="1" applyAlignment="1">
      <alignment vertical="center"/>
    </xf>
    <xf numFmtId="164" fontId="2" fillId="0" borderId="0" xfId="0" quotePrefix="1" applyNumberFormat="1" applyFont="1" applyAlignment="1">
      <alignment vertical="center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0" fillId="0" borderId="0" xfId="0" quotePrefix="1" applyNumberFormat="1"/>
    <xf numFmtId="0" fontId="9" fillId="0" borderId="0" xfId="0" applyFont="1"/>
    <xf numFmtId="0" fontId="9" fillId="0" borderId="0" xfId="0" applyFont="1" applyAlignment="1">
      <alignment horizontal="center"/>
    </xf>
    <xf numFmtId="0" fontId="1" fillId="3" borderId="0" xfId="0" quotePrefix="1" applyFont="1" applyFill="1" applyAlignment="1">
      <alignment horizontal="center"/>
    </xf>
    <xf numFmtId="164" fontId="1" fillId="0" borderId="0" xfId="0" applyNumberFormat="1" applyFont="1"/>
    <xf numFmtId="0" fontId="7" fillId="2" borderId="0" xfId="0" applyFont="1" applyFill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6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2" fillId="0" borderId="0" xfId="0" quotePrefix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8</xdr:row>
          <xdr:rowOff>160020</xdr:rowOff>
        </xdr:from>
        <xdr:to>
          <xdr:col>5</xdr:col>
          <xdr:colOff>266700</xdr:colOff>
          <xdr:row>14</xdr:row>
          <xdr:rowOff>7620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3</xdr:row>
          <xdr:rowOff>99060</xdr:rowOff>
        </xdr:from>
        <xdr:to>
          <xdr:col>4</xdr:col>
          <xdr:colOff>556260</xdr:colOff>
          <xdr:row>5</xdr:row>
          <xdr:rowOff>121920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17</xdr:row>
          <xdr:rowOff>22860</xdr:rowOff>
        </xdr:from>
        <xdr:to>
          <xdr:col>2</xdr:col>
          <xdr:colOff>502920</xdr:colOff>
          <xdr:row>19</xdr:row>
          <xdr:rowOff>144780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8C5D-B883-4734-932E-904CE5808AD4}">
  <sheetPr codeName="Sheet5"/>
  <dimension ref="A1:I7"/>
  <sheetViews>
    <sheetView view="pageBreakPreview" zoomScale="58" zoomScaleNormal="91" zoomScaleSheetLayoutView="160" workbookViewId="0">
      <selection activeCell="G6" sqref="G6"/>
    </sheetView>
  </sheetViews>
  <sheetFormatPr defaultRowHeight="14.4" x14ac:dyDescent="0.3"/>
  <cols>
    <col min="1" max="1" width="14.6640625" bestFit="1" customWidth="1"/>
    <col min="2" max="2" width="14.6640625" customWidth="1"/>
    <col min="3" max="3" width="15.5546875" bestFit="1" customWidth="1"/>
    <col min="5" max="5" width="21" customWidth="1"/>
    <col min="7" max="7" width="21.44140625" customWidth="1"/>
  </cols>
  <sheetData>
    <row r="1" spans="1:9" ht="14.55" customHeight="1" x14ac:dyDescent="0.3">
      <c r="A1" s="32" t="s">
        <v>24</v>
      </c>
      <c r="B1" s="32"/>
      <c r="E1" s="20" t="s">
        <v>25</v>
      </c>
      <c r="G1" s="29" t="s">
        <v>26</v>
      </c>
      <c r="H1" s="33" t="s">
        <v>27</v>
      </c>
      <c r="I1" s="33"/>
    </row>
    <row r="2" spans="1:9" x14ac:dyDescent="0.3">
      <c r="A2" s="9" t="s">
        <v>28</v>
      </c>
      <c r="B2" s="9" t="s">
        <v>29</v>
      </c>
      <c r="C2" s="21" t="s">
        <v>30</v>
      </c>
      <c r="E2" s="22" t="s">
        <v>31</v>
      </c>
      <c r="F2" s="2"/>
      <c r="G2" s="22" t="s">
        <v>31</v>
      </c>
      <c r="H2" s="33"/>
      <c r="I2" s="33"/>
    </row>
    <row r="3" spans="1:9" x14ac:dyDescent="0.3">
      <c r="A3" s="23">
        <v>0</v>
      </c>
      <c r="B3" s="23">
        <v>9999</v>
      </c>
      <c r="C3" s="24">
        <v>0.08</v>
      </c>
      <c r="E3" s="25">
        <v>26000</v>
      </c>
      <c r="F3" s="2"/>
      <c r="G3" s="25">
        <v>26000</v>
      </c>
      <c r="H3" s="33"/>
      <c r="I3" s="33"/>
    </row>
    <row r="4" spans="1:9" x14ac:dyDescent="0.3">
      <c r="A4" s="26">
        <v>10000</v>
      </c>
      <c r="B4" s="26">
        <v>19999</v>
      </c>
      <c r="C4" s="24">
        <v>0.105</v>
      </c>
    </row>
    <row r="5" spans="1:9" x14ac:dyDescent="0.3">
      <c r="A5" s="26">
        <v>20000</v>
      </c>
      <c r="B5" s="26">
        <v>39999</v>
      </c>
      <c r="C5" s="24">
        <v>0.12</v>
      </c>
      <c r="E5" s="22" t="s">
        <v>32</v>
      </c>
      <c r="G5" s="22" t="s">
        <v>32</v>
      </c>
    </row>
    <row r="6" spans="1:9" x14ac:dyDescent="0.3">
      <c r="A6" s="26">
        <v>40000</v>
      </c>
      <c r="B6" s="26"/>
      <c r="C6" s="24">
        <v>0.14000000000000001</v>
      </c>
      <c r="D6" s="3"/>
      <c r="E6" s="25"/>
      <c r="G6" s="25">
        <v>3120</v>
      </c>
    </row>
    <row r="7" spans="1:9" x14ac:dyDescent="0.3">
      <c r="G7" s="23"/>
    </row>
  </sheetData>
  <mergeCells count="2">
    <mergeCell ref="A1:B1"/>
    <mergeCell ref="H1:I3"/>
  </mergeCells>
  <pageMargins left="0.7" right="0.7" top="0.75" bottom="0.75" header="0.3" footer="0.3"/>
  <pageSetup scale="6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0"/>
  <sheetViews>
    <sheetView view="pageBreakPreview" zoomScale="110" zoomScaleNormal="100" zoomScaleSheetLayoutView="110" workbookViewId="0">
      <selection activeCell="C8" sqref="C8:G9"/>
    </sheetView>
  </sheetViews>
  <sheetFormatPr defaultColWidth="8.88671875" defaultRowHeight="13.8" x14ac:dyDescent="0.3"/>
  <cols>
    <col min="1" max="8" width="8.88671875" style="11"/>
    <col min="9" max="9" width="13.33203125" style="11" bestFit="1" customWidth="1"/>
    <col min="10" max="16384" width="8.88671875" style="11"/>
  </cols>
  <sheetData>
    <row r="1" spans="1:9" x14ac:dyDescent="0.3">
      <c r="A1" s="35" t="s">
        <v>22</v>
      </c>
      <c r="B1" s="35"/>
      <c r="C1" s="10" t="s">
        <v>23</v>
      </c>
    </row>
    <row r="2" spans="1:9" x14ac:dyDescent="0.3">
      <c r="A2" s="11">
        <v>12</v>
      </c>
      <c r="B2" s="12">
        <f>TIME(A2,0,0)</f>
        <v>0.5</v>
      </c>
      <c r="C2" s="13">
        <f>B2</f>
        <v>0.5</v>
      </c>
    </row>
    <row r="3" spans="1:9" x14ac:dyDescent="0.3">
      <c r="A3" s="11">
        <v>18</v>
      </c>
      <c r="B3" s="12">
        <f t="shared" ref="B3:B4" si="0">TIME(A3,0,0)</f>
        <v>0.75</v>
      </c>
      <c r="C3" s="13">
        <f t="shared" ref="C3:C4" si="1">B3</f>
        <v>0.75</v>
      </c>
    </row>
    <row r="4" spans="1:9" x14ac:dyDescent="0.3">
      <c r="A4" s="11">
        <v>24</v>
      </c>
      <c r="B4" s="12">
        <f t="shared" si="0"/>
        <v>0</v>
      </c>
      <c r="C4" s="13">
        <f t="shared" si="1"/>
        <v>0</v>
      </c>
    </row>
    <row r="7" spans="1:9" x14ac:dyDescent="0.3">
      <c r="A7" s="35" t="s">
        <v>9</v>
      </c>
      <c r="B7" s="35"/>
    </row>
    <row r="8" spans="1:9" x14ac:dyDescent="0.3">
      <c r="A8" s="36">
        <v>4.0999999999999996</v>
      </c>
      <c r="B8" s="36"/>
      <c r="C8" s="34" t="s">
        <v>41</v>
      </c>
      <c r="D8" s="34"/>
      <c r="E8" s="34"/>
      <c r="F8" s="34"/>
      <c r="G8" s="34"/>
      <c r="I8" s="12"/>
    </row>
    <row r="9" spans="1:9" x14ac:dyDescent="0.3">
      <c r="C9" s="34"/>
      <c r="D9" s="34"/>
      <c r="E9" s="34"/>
      <c r="F9" s="34"/>
      <c r="G9" s="34"/>
      <c r="H9" s="14"/>
    </row>
    <row r="10" spans="1:9" x14ac:dyDescent="0.3">
      <c r="C10" s="14"/>
      <c r="D10" s="14"/>
      <c r="E10" s="14"/>
      <c r="F10" s="14"/>
      <c r="G10" s="14"/>
      <c r="H10" s="14"/>
      <c r="I10" s="15"/>
    </row>
    <row r="11" spans="1:9" x14ac:dyDescent="0.3">
      <c r="C11" s="14"/>
      <c r="D11" s="14"/>
      <c r="E11" s="14"/>
      <c r="F11" s="14"/>
      <c r="G11" s="14"/>
      <c r="H11" s="14"/>
    </row>
    <row r="12" spans="1:9" x14ac:dyDescent="0.3">
      <c r="C12" s="14"/>
      <c r="D12" s="14"/>
      <c r="E12" s="14"/>
      <c r="F12" s="14"/>
      <c r="G12" s="14"/>
      <c r="H12" s="14"/>
    </row>
    <row r="13" spans="1:9" x14ac:dyDescent="0.3">
      <c r="A13" s="35" t="s">
        <v>10</v>
      </c>
      <c r="B13" s="35"/>
      <c r="C13" s="14"/>
      <c r="D13" s="14"/>
      <c r="E13" s="14"/>
      <c r="F13" s="14"/>
      <c r="G13" s="14"/>
      <c r="H13" s="14"/>
    </row>
    <row r="14" spans="1:9" x14ac:dyDescent="0.3">
      <c r="A14" s="36">
        <v>75</v>
      </c>
      <c r="B14" s="36"/>
    </row>
    <row r="16" spans="1:9" x14ac:dyDescent="0.3">
      <c r="A16" s="16" t="s">
        <v>11</v>
      </c>
      <c r="B16" s="16" t="s">
        <v>12</v>
      </c>
      <c r="C16" s="34" t="s">
        <v>42</v>
      </c>
      <c r="D16" s="34"/>
      <c r="E16" s="34"/>
      <c r="F16" s="34"/>
      <c r="G16" s="34"/>
    </row>
    <row r="17" spans="1:7" x14ac:dyDescent="0.3">
      <c r="A17" s="17" t="s">
        <v>14</v>
      </c>
      <c r="B17" s="18" t="s">
        <v>15</v>
      </c>
      <c r="C17" s="34"/>
      <c r="D17" s="34"/>
      <c r="E17" s="34"/>
      <c r="F17" s="34"/>
      <c r="G17" s="34"/>
    </row>
    <row r="18" spans="1:7" x14ac:dyDescent="0.3">
      <c r="A18" s="19" t="s">
        <v>16</v>
      </c>
      <c r="B18" s="18" t="s">
        <v>17</v>
      </c>
    </row>
    <row r="19" spans="1:7" x14ac:dyDescent="0.3">
      <c r="A19" s="19" t="s">
        <v>18</v>
      </c>
      <c r="B19" s="18" t="s">
        <v>19</v>
      </c>
    </row>
    <row r="20" spans="1:7" x14ac:dyDescent="0.3">
      <c r="A20" s="19" t="s">
        <v>20</v>
      </c>
      <c r="B20" s="18" t="s">
        <v>13</v>
      </c>
    </row>
  </sheetData>
  <mergeCells count="7">
    <mergeCell ref="C16:G17"/>
    <mergeCell ref="A1:B1"/>
    <mergeCell ref="A7:B7"/>
    <mergeCell ref="A8:B8"/>
    <mergeCell ref="C8:G9"/>
    <mergeCell ref="A13:B13"/>
    <mergeCell ref="A14:B14"/>
  </mergeCells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1"/>
  <sheetViews>
    <sheetView view="pageBreakPreview" topLeftCell="F1" zoomScale="87" zoomScaleNormal="91" zoomScaleSheetLayoutView="115" workbookViewId="0">
      <selection activeCell="M13" sqref="M13"/>
    </sheetView>
  </sheetViews>
  <sheetFormatPr defaultRowHeight="14.4" x14ac:dyDescent="0.3"/>
  <cols>
    <col min="11" max="11" width="12.21875" bestFit="1" customWidth="1"/>
  </cols>
  <sheetData>
    <row r="1" spans="1:17" x14ac:dyDescent="0.3">
      <c r="F1" s="6"/>
      <c r="G1" s="6"/>
    </row>
    <row r="2" spans="1:17" x14ac:dyDescent="0.3">
      <c r="A2" s="1" t="s">
        <v>0</v>
      </c>
      <c r="K2" s="37" t="s">
        <v>35</v>
      </c>
      <c r="L2" s="37"/>
    </row>
    <row r="3" spans="1:17" x14ac:dyDescent="0.3">
      <c r="F3" s="2"/>
      <c r="G3" s="2"/>
      <c r="K3" s="7" t="s">
        <v>33</v>
      </c>
      <c r="L3" s="7" t="s">
        <v>34</v>
      </c>
      <c r="M3" s="7" t="s">
        <v>40</v>
      </c>
    </row>
    <row r="4" spans="1:17" x14ac:dyDescent="0.3">
      <c r="K4" s="28">
        <v>3</v>
      </c>
      <c r="L4" s="28">
        <v>8</v>
      </c>
      <c r="M4" cm="1">
        <f t="array" ref="M4">Area_Zone(K4,L4)</f>
        <v>24</v>
      </c>
    </row>
    <row r="5" spans="1:17" x14ac:dyDescent="0.3">
      <c r="K5" s="28">
        <v>12</v>
      </c>
      <c r="L5" s="28">
        <v>4</v>
      </c>
      <c r="M5" cm="1">
        <f t="array" ref="M5">Area_Zone(K5,L5)</f>
        <v>48</v>
      </c>
    </row>
    <row r="6" spans="1:17" x14ac:dyDescent="0.3">
      <c r="K6" s="28">
        <v>4</v>
      </c>
      <c r="L6" s="28">
        <v>5</v>
      </c>
      <c r="M6" cm="1">
        <f t="array" ref="M6">Area_Zone(K6,L6)</f>
        <v>20</v>
      </c>
    </row>
    <row r="7" spans="1:17" x14ac:dyDescent="0.3">
      <c r="K7" s="28">
        <v>6.54</v>
      </c>
      <c r="L7" s="28">
        <v>8</v>
      </c>
      <c r="M7" cm="1">
        <f t="array" ref="M7">Area_Zone(K7,L7)</f>
        <v>52.32</v>
      </c>
    </row>
    <row r="8" spans="1:17" x14ac:dyDescent="0.3">
      <c r="A8" s="1" t="s">
        <v>21</v>
      </c>
    </row>
    <row r="10" spans="1:17" x14ac:dyDescent="0.3">
      <c r="K10" s="37" t="s">
        <v>35</v>
      </c>
      <c r="L10" s="37"/>
      <c r="N10" t="s">
        <v>43</v>
      </c>
    </row>
    <row r="11" spans="1:17" x14ac:dyDescent="0.3">
      <c r="K11" t="s">
        <v>38</v>
      </c>
      <c r="L11" s="27">
        <v>400</v>
      </c>
      <c r="N11" s="30" cm="1">
        <f t="array" ref="N11">FutureValueD(L11,L12,L14,L13)</f>
        <v>541.64180067342215</v>
      </c>
      <c r="O11" s="30"/>
      <c r="Q11" s="23">
        <f>N11</f>
        <v>541.64180067342215</v>
      </c>
    </row>
    <row r="12" spans="1:17" x14ac:dyDescent="0.3">
      <c r="K12" t="s">
        <v>37</v>
      </c>
      <c r="L12" s="27">
        <v>0.08</v>
      </c>
      <c r="P12">
        <v>0.01</v>
      </c>
      <c r="Q12">
        <f t="dataTable" ref="Q12:Q20" dt2D="0" dtr="0" r1="L12"/>
        <v>505.02505829103194</v>
      </c>
    </row>
    <row r="13" spans="1:17" x14ac:dyDescent="0.3">
      <c r="K13" t="s">
        <v>39</v>
      </c>
      <c r="L13" s="27">
        <v>1000</v>
      </c>
      <c r="P13">
        <f>P12+0.01</f>
        <v>0.02</v>
      </c>
      <c r="Q13">
        <v>510.10056799456794</v>
      </c>
    </row>
    <row r="14" spans="1:17" x14ac:dyDescent="0.3">
      <c r="K14" t="s">
        <v>5</v>
      </c>
      <c r="L14" s="27">
        <v>1</v>
      </c>
      <c r="P14">
        <f t="shared" ref="P14:P20" si="0">P13+0.01</f>
        <v>0.03</v>
      </c>
      <c r="Q14">
        <v>515.22703512916428</v>
      </c>
    </row>
    <row r="15" spans="1:17" x14ac:dyDescent="0.3">
      <c r="N15" s="7" t="b">
        <f>N11&lt;N19</f>
        <v>0</v>
      </c>
      <c r="P15">
        <f t="shared" si="0"/>
        <v>0.04</v>
      </c>
      <c r="Q15">
        <v>520.40497078317333</v>
      </c>
    </row>
    <row r="16" spans="1:17" x14ac:dyDescent="0.3">
      <c r="A16" s="1" t="s">
        <v>1</v>
      </c>
      <c r="P16">
        <f t="shared" si="0"/>
        <v>0.05</v>
      </c>
      <c r="Q16">
        <v>525.63489116594349</v>
      </c>
    </row>
    <row r="17" spans="5:17" x14ac:dyDescent="0.3">
      <c r="K17" s="37" t="s">
        <v>35</v>
      </c>
      <c r="L17" s="37"/>
      <c r="P17">
        <f t="shared" si="0"/>
        <v>6.0000000000000005E-2</v>
      </c>
      <c r="Q17">
        <v>530.91731765884515</v>
      </c>
    </row>
    <row r="18" spans="5:17" x14ac:dyDescent="0.3">
      <c r="E18" s="7"/>
      <c r="G18" s="8"/>
      <c r="K18" t="s">
        <v>38</v>
      </c>
      <c r="L18" s="27">
        <v>400</v>
      </c>
      <c r="N18" t="s">
        <v>43</v>
      </c>
      <c r="P18">
        <f t="shared" si="0"/>
        <v>7.0000000000000007E-2</v>
      </c>
      <c r="Q18">
        <v>536.25277686751167</v>
      </c>
    </row>
    <row r="19" spans="5:17" x14ac:dyDescent="0.3">
      <c r="E19" s="7"/>
      <c r="K19" t="s">
        <v>37</v>
      </c>
      <c r="L19" s="27">
        <v>0.08</v>
      </c>
      <c r="N19" s="30" cm="1">
        <f t="array" ref="N19">FutureValueC(L18,L19,L20)</f>
        <v>433.31482706998344</v>
      </c>
      <c r="O19" s="30"/>
      <c r="P19">
        <f t="shared" si="0"/>
        <v>0.08</v>
      </c>
      <c r="Q19">
        <v>541.64180067342215</v>
      </c>
    </row>
    <row r="20" spans="5:17" x14ac:dyDescent="0.3">
      <c r="E20" s="7"/>
      <c r="K20" t="s">
        <v>36</v>
      </c>
      <c r="L20" s="27">
        <f>L14</f>
        <v>1</v>
      </c>
      <c r="P20">
        <f t="shared" si="0"/>
        <v>0.09</v>
      </c>
      <c r="Q20">
        <v>547.08492628705824</v>
      </c>
    </row>
    <row r="21" spans="5:17" x14ac:dyDescent="0.3">
      <c r="L21" s="27"/>
    </row>
  </sheetData>
  <mergeCells count="3">
    <mergeCell ref="K2:L2"/>
    <mergeCell ref="K10:L10"/>
    <mergeCell ref="K17:L17"/>
  </mergeCells>
  <pageMargins left="0.7" right="0.7" top="0.75" bottom="0.75" header="0.3" footer="0.3"/>
  <pageSetup scale="56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26" r:id="rId4">
          <objectPr defaultSize="0" autoPict="0" r:id="rId5">
            <anchor moveWithCells="1">
              <from>
                <xdr:col>0</xdr:col>
                <xdr:colOff>68580</xdr:colOff>
                <xdr:row>8</xdr:row>
                <xdr:rowOff>160020</xdr:rowOff>
              </from>
              <to>
                <xdr:col>5</xdr:col>
                <xdr:colOff>266700</xdr:colOff>
                <xdr:row>14</xdr:row>
                <xdr:rowOff>7620</xdr:rowOff>
              </to>
            </anchor>
          </objectPr>
        </oleObject>
      </mc:Choice>
      <mc:Fallback>
        <oleObject progId="Equation.3" shapeId="1026" r:id="rId4"/>
      </mc:Fallback>
    </mc:AlternateContent>
    <mc:AlternateContent xmlns:mc="http://schemas.openxmlformats.org/markup-compatibility/2006">
      <mc:Choice Requires="x14">
        <oleObject progId="Equation.3" shapeId="1028" r:id="rId6">
          <objectPr defaultSize="0" autoPict="0" r:id="rId7">
            <anchor moveWithCells="1">
              <from>
                <xdr:col>0</xdr:col>
                <xdr:colOff>83820</xdr:colOff>
                <xdr:row>3</xdr:row>
                <xdr:rowOff>99060</xdr:rowOff>
              </from>
              <to>
                <xdr:col>4</xdr:col>
                <xdr:colOff>556260</xdr:colOff>
                <xdr:row>5</xdr:row>
                <xdr:rowOff>121920</xdr:rowOff>
              </to>
            </anchor>
          </objectPr>
        </oleObject>
      </mc:Choice>
      <mc:Fallback>
        <oleObject progId="Equation.3" shapeId="1028" r:id="rId6"/>
      </mc:Fallback>
    </mc:AlternateContent>
    <mc:AlternateContent xmlns:mc="http://schemas.openxmlformats.org/markup-compatibility/2006">
      <mc:Choice Requires="x14">
        <oleObject progId="Equation.3" shapeId="1030" r:id="rId8">
          <objectPr defaultSize="0" autoPict="0" r:id="rId9">
            <anchor moveWithCells="1">
              <from>
                <xdr:col>0</xdr:col>
                <xdr:colOff>68580</xdr:colOff>
                <xdr:row>17</xdr:row>
                <xdr:rowOff>22860</xdr:rowOff>
              </from>
              <to>
                <xdr:col>2</xdr:col>
                <xdr:colOff>502920</xdr:colOff>
                <xdr:row>19</xdr:row>
                <xdr:rowOff>144780</xdr:rowOff>
              </to>
            </anchor>
          </objectPr>
        </oleObject>
      </mc:Choice>
      <mc:Fallback>
        <oleObject progId="Equation.3" shapeId="103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7"/>
  <sheetViews>
    <sheetView tabSelected="1" view="pageBreakPreview" zoomScale="91" zoomScaleNormal="91" zoomScaleSheetLayoutView="91" workbookViewId="0">
      <selection activeCell="F3" sqref="F3"/>
    </sheetView>
  </sheetViews>
  <sheetFormatPr defaultRowHeight="14.4" x14ac:dyDescent="0.3"/>
  <cols>
    <col min="1" max="1" width="13.33203125" customWidth="1"/>
    <col min="6" max="6" width="9.5546875" bestFit="1" customWidth="1"/>
    <col min="8" max="8" width="13.6640625" bestFit="1" customWidth="1"/>
  </cols>
  <sheetData>
    <row r="1" spans="1:8" x14ac:dyDescent="0.3">
      <c r="A1" s="37" t="s">
        <v>6</v>
      </c>
      <c r="B1" s="37"/>
      <c r="D1" s="3" t="s">
        <v>7</v>
      </c>
      <c r="E1" s="2"/>
      <c r="F1" s="3" t="s">
        <v>8</v>
      </c>
    </row>
    <row r="2" spans="1:8" x14ac:dyDescent="0.3">
      <c r="A2" t="s">
        <v>2</v>
      </c>
      <c r="B2">
        <v>300</v>
      </c>
      <c r="D2" s="2"/>
      <c r="E2" s="2"/>
      <c r="F2" s="2"/>
      <c r="H2" s="5"/>
    </row>
    <row r="3" spans="1:8" x14ac:dyDescent="0.3">
      <c r="A3" t="s">
        <v>3</v>
      </c>
      <c r="B3">
        <v>0.08</v>
      </c>
    </row>
    <row r="4" spans="1:8" x14ac:dyDescent="0.3">
      <c r="A4" t="s">
        <v>4</v>
      </c>
      <c r="B4">
        <v>2</v>
      </c>
      <c r="H4" s="4"/>
    </row>
    <row r="5" spans="1:8" x14ac:dyDescent="0.3">
      <c r="A5" t="s">
        <v>5</v>
      </c>
      <c r="B5">
        <v>1</v>
      </c>
      <c r="D5" s="6" t="s">
        <v>44</v>
      </c>
    </row>
    <row r="6" spans="1:8" x14ac:dyDescent="0.3">
      <c r="D6" s="31">
        <v>432.64000000000004</v>
      </c>
      <c r="F6" s="4"/>
    </row>
    <row r="7" spans="1:8" x14ac:dyDescent="0.3">
      <c r="F7" s="4"/>
    </row>
  </sheetData>
  <mergeCells count="1">
    <mergeCell ref="A1:B1"/>
  </mergeCells>
  <pageMargins left="0.7" right="0.7" top="0.75" bottom="0.75" header="0.3" footer="0.3"/>
  <pageSetup scale="6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Sales Commision</vt:lpstr>
      <vt:lpstr>CaseSelect</vt:lpstr>
      <vt:lpstr>User defined function</vt:lpstr>
      <vt:lpstr>ByVal vs. ByRef</vt:lpstr>
      <vt:lpstr>'ByVal vs. ByRef'!Print_Area</vt:lpstr>
      <vt:lpstr>CaseSelect!Print_Area</vt:lpstr>
      <vt:lpstr>'Sales Commision'!Print_Area</vt:lpstr>
      <vt:lpstr>'User defined function'!Print_Area</vt:lpstr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</dc:creator>
  <cp:lastModifiedBy>Mickael Bertolla</cp:lastModifiedBy>
  <dcterms:created xsi:type="dcterms:W3CDTF">2014-07-11T23:51:56Z</dcterms:created>
  <dcterms:modified xsi:type="dcterms:W3CDTF">2021-09-10T16:12:08Z</dcterms:modified>
</cp:coreProperties>
</file>