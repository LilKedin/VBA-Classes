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cka\Desktop\Cours Raleigh\VBA foundations for Finance\L2\"/>
    </mc:Choice>
  </mc:AlternateContent>
  <xr:revisionPtr revIDLastSave="0" documentId="13_ncr:1_{325794B0-4972-421A-A1B0-94ACF6A254AE}" xr6:coauthVersionLast="45" xr6:coauthVersionMax="47" xr10:uidLastSave="{00000000-0000-0000-0000-000000000000}"/>
  <bookViews>
    <workbookView xWindow="-8172" yWindow="1872" windowWidth="17280" windowHeight="8964" xr2:uid="{00000000-000D-0000-FFFF-FFFF00000000}"/>
  </bookViews>
  <sheets>
    <sheet name="HW2a discount rate vba" sheetId="7" r:id="rId1"/>
    <sheet name="discount rate vba soln" sheetId="8" r:id="rId2"/>
    <sheet name="HW2b sales commission" sheetId="10" r:id="rId3"/>
  </sheets>
  <functionGroup name="Bloomberg"/>
  <functionGroup name="Power-user"/>
  <definedNames>
    <definedName name="days" localSheetId="1">'discount rate vba soln'!$B$8:$B$1007</definedName>
    <definedName name="days" localSheetId="0">'HW2a discount rate vba'!$B$4:$B$1004</definedName>
    <definedName name="days" localSheetId="2">#REF!</definedName>
    <definedName name="days">#REF!</definedName>
    <definedName name="days1" localSheetId="2">#REF!</definedName>
    <definedName name="days1">'HW2a discount rate vba'!$B$4:$B$1004</definedName>
    <definedName name="_xlnm.Print_Area" localSheetId="2">'HW2b sales commission'!$A$1:$I$13</definedName>
    <definedName name="rate" localSheetId="1">'discount rate vba soln'!$C$4</definedName>
    <definedName name="rate" localSheetId="0">'HW2a discount rate vba'!$C$1</definedName>
    <definedName name="rate" localSheetId="2">#REF!</definedName>
    <definedName name="rate">#REF!</definedName>
    <definedName name="rate1" localSheetId="2">#REF!</definedName>
    <definedName name="rate1">'HW2a discount rate vba'!$C$1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" i="7" l="1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Mohamed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Mohamed:</t>
        </r>
        <r>
          <rPr>
            <sz val="9"/>
            <color indexed="81"/>
            <rFont val="Tahoma"/>
            <family val="2"/>
          </rPr>
          <t xml:space="preserve">
Each cell of Range("A5:A245") should contain the value 1</t>
        </r>
      </text>
    </comment>
    <comment ref="B4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Mohamed:</t>
        </r>
        <r>
          <rPr>
            <sz val="9"/>
            <color indexed="81"/>
            <rFont val="Tahoma"/>
            <family val="2"/>
          </rPr>
          <t xml:space="preserve">
Create a series from 1 to 250</t>
        </r>
      </text>
    </comment>
    <comment ref="C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Mohamed:</t>
        </r>
        <r>
          <rPr>
            <sz val="9"/>
            <color indexed="81"/>
            <rFont val="Tahoma"/>
            <family val="2"/>
          </rPr>
          <t xml:space="preserve">
Annualize days by taking each day and dividing by 365, and fill down</t>
        </r>
      </text>
    </comment>
    <comment ref="D4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Mohamed:</t>
        </r>
        <r>
          <rPr>
            <sz val="9"/>
            <color indexed="81"/>
            <rFont val="Tahoma"/>
            <family val="2"/>
          </rPr>
          <t xml:space="preserve">
UDF which will be multiplied by A and then filled down
</t>
        </r>
      </text>
    </comment>
    <comment ref="E4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Mohamed:</t>
        </r>
        <r>
          <rPr>
            <sz val="9"/>
            <color indexed="81"/>
            <rFont val="Tahoma"/>
            <family val="2"/>
          </rPr>
          <t xml:space="preserve">
UDF which will be multiplied by A and then filled down</t>
        </r>
      </text>
    </comment>
    <comment ref="I4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Mohamed:</t>
        </r>
        <r>
          <rPr>
            <sz val="9"/>
            <color indexed="81"/>
            <rFont val="Tahoma"/>
            <family val="2"/>
          </rPr>
          <t xml:space="preserve">
Assign code to a button of your choice</t>
        </r>
      </text>
    </comment>
  </commentList>
</comments>
</file>

<file path=xl/sharedStrings.xml><?xml version="1.0" encoding="utf-8"?>
<sst xmlns="http://schemas.openxmlformats.org/spreadsheetml/2006/main" count="29" uniqueCount="24">
  <si>
    <t>r=</t>
  </si>
  <si>
    <t>Year days</t>
  </si>
  <si>
    <t>A</t>
  </si>
  <si>
    <r>
      <t>T</t>
    </r>
    <r>
      <rPr>
        <b/>
        <vertAlign val="subscript"/>
        <sz val="11"/>
        <color theme="0"/>
        <rFont val="Calibri"/>
        <family val="2"/>
        <scheme val="minor"/>
      </rPr>
      <t>a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</si>
  <si>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days</t>
    </r>
  </si>
  <si>
    <r>
      <t>e</t>
    </r>
    <r>
      <rPr>
        <b/>
        <vertAlign val="superscript"/>
        <sz val="14"/>
        <color theme="0"/>
        <rFont val="Calibri"/>
        <family val="2"/>
        <scheme val="minor"/>
      </rPr>
      <t>rt</t>
    </r>
  </si>
  <si>
    <r>
      <t>e</t>
    </r>
    <r>
      <rPr>
        <b/>
        <vertAlign val="superscript"/>
        <sz val="14"/>
        <color theme="0"/>
        <rFont val="Calibri"/>
        <family val="2"/>
        <scheme val="minor"/>
      </rPr>
      <t>-rt</t>
    </r>
  </si>
  <si>
    <t>**Do not worry about creating a macro for the chart, it will fill on its own</t>
  </si>
  <si>
    <r>
      <t>e</t>
    </r>
    <r>
      <rPr>
        <b/>
        <vertAlign val="superscript"/>
        <sz val="14"/>
        <rFont val="Calibri"/>
        <family val="2"/>
        <scheme val="minor"/>
      </rPr>
      <t>-rt</t>
    </r>
  </si>
  <si>
    <r>
      <t>e</t>
    </r>
    <r>
      <rPr>
        <b/>
        <vertAlign val="superscript"/>
        <sz val="14"/>
        <rFont val="Calibri"/>
        <family val="2"/>
        <scheme val="minor"/>
      </rPr>
      <t>rt</t>
    </r>
  </si>
  <si>
    <r>
      <t>T</t>
    </r>
    <r>
      <rPr>
        <b/>
        <vertAlign val="subscript"/>
        <sz val="11"/>
        <rFont val="Calibri"/>
        <family val="2"/>
        <scheme val="minor"/>
      </rPr>
      <t>a</t>
    </r>
  </si>
  <si>
    <r>
      <t>T</t>
    </r>
    <r>
      <rPr>
        <b/>
        <vertAlign val="subscript"/>
        <sz val="11"/>
        <rFont val="Calibri"/>
        <family val="2"/>
        <scheme val="minor"/>
      </rPr>
      <t>days</t>
    </r>
  </si>
  <si>
    <t>Format heading with navy blue background, and bold white letters</t>
  </si>
  <si>
    <t>named "rate"</t>
  </si>
  <si>
    <t>Monthly Sales</t>
  </si>
  <si>
    <t>With incentive</t>
  </si>
  <si>
    <t>Without incentive</t>
  </si>
  <si>
    <t>Incentive: +1% to commission per year</t>
  </si>
  <si>
    <t>Min</t>
  </si>
  <si>
    <t>Max</t>
  </si>
  <si>
    <t>Commission Rate</t>
  </si>
  <si>
    <t>Current Sales</t>
  </si>
  <si>
    <t>Total $ Commission</t>
  </si>
  <si>
    <t xml:space="preserve">YOUR WORKSHEET SHOULD LOOK LIKE THIS PAGE ON RUNNING YOUR SUB PROCEDURE (i.e. the button "Rates" should run the analysis while "Delete" should clear data)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</si>
</sst>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_);[Red]\(&quot;$&quot;#,##0.00\)"/>
    <numFmt numFmtId="165" formatCode="0.000"/>
    <numFmt numFmtId="166" formatCode="0.0%"/>
    <numFmt numFmtId="167" formatCode="&quot;$&quot;#,##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vertAlign val="superscript"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b/>
      <vertAlign val="superscript"/>
      <sz val="14"/>
      <name val="Calibri"/>
      <family val="2"/>
      <scheme val="minor"/>
    </font>
    <font>
      <b/>
      <vertAlign val="subscript"/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00000"/>
        <bgColor indexed="64"/>
      </patternFill>
    </fill>
  </fills>
  <borders count="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165" fontId="0" fillId="0" borderId="0" xfId="0" applyNumberFormat="1"/>
    <xf numFmtId="0" fontId="0" fillId="0" borderId="1" xfId="0" quotePrefix="1" applyBorder="1"/>
    <xf numFmtId="166" fontId="2" fillId="0" borderId="2" xfId="0" applyNumberFormat="1" applyFont="1" applyBorder="1"/>
    <xf numFmtId="166" fontId="2" fillId="0" borderId="0" xfId="0" applyNumberFormat="1" applyFont="1" applyBorder="1"/>
    <xf numFmtId="0" fontId="0" fillId="0" borderId="3" xfId="0" quotePrefix="1" applyBorder="1"/>
    <xf numFmtId="1" fontId="2" fillId="0" borderId="4" xfId="0" applyNumberFormat="1" applyFont="1" applyBorder="1"/>
    <xf numFmtId="1" fontId="2" fillId="0" borderId="0" xfId="0" applyNumberFormat="1" applyFont="1" applyBorder="1"/>
    <xf numFmtId="0" fontId="1" fillId="0" borderId="0" xfId="0" quotePrefix="1" applyFont="1"/>
    <xf numFmtId="0" fontId="4" fillId="2" borderId="0" xfId="0" applyFont="1" applyFill="1"/>
    <xf numFmtId="0" fontId="6" fillId="2" borderId="0" xfId="0" quotePrefix="1" applyFont="1" applyFill="1"/>
    <xf numFmtId="165" fontId="0" fillId="0" borderId="0" xfId="0" quotePrefix="1" applyNumberFormat="1"/>
    <xf numFmtId="0" fontId="9" fillId="0" borderId="0" xfId="0" quotePrefix="1" applyFont="1" applyFill="1"/>
    <xf numFmtId="0" fontId="8" fillId="0" borderId="0" xfId="0" applyFont="1" applyFill="1"/>
    <xf numFmtId="166" fontId="2" fillId="0" borderId="0" xfId="0" quotePrefix="1" applyNumberFormat="1" applyFont="1" applyBorder="1"/>
    <xf numFmtId="0" fontId="1" fillId="0" borderId="0" xfId="0" quotePrefix="1" applyFont="1" applyAlignment="1">
      <alignment horizontal="center"/>
    </xf>
    <xf numFmtId="0" fontId="15" fillId="0" borderId="0" xfId="0" quotePrefix="1" applyFont="1" applyAlignment="1">
      <alignment horizontal="center" vertical="center"/>
    </xf>
    <xf numFmtId="0" fontId="15" fillId="0" borderId="0" xfId="0" quotePrefix="1" applyFont="1" applyAlignment="1">
      <alignment vertical="center"/>
    </xf>
    <xf numFmtId="164" fontId="15" fillId="0" borderId="0" xfId="0" quotePrefix="1" applyNumberFormat="1" applyFont="1" applyAlignment="1">
      <alignment vertical="center"/>
    </xf>
    <xf numFmtId="0" fontId="0" fillId="0" borderId="0" xfId="0" applyAlignment="1">
      <alignment horizontal="center"/>
    </xf>
    <xf numFmtId="164" fontId="0" fillId="0" borderId="0" xfId="0" applyNumberFormat="1"/>
    <xf numFmtId="166" fontId="0" fillId="0" borderId="0" xfId="0" applyNumberFormat="1" applyAlignment="1">
      <alignment horizontal="center"/>
    </xf>
    <xf numFmtId="164" fontId="14" fillId="3" borderId="0" xfId="0" applyNumberFormat="1" applyFont="1" applyFill="1" applyAlignment="1">
      <alignment horizontal="center"/>
    </xf>
    <xf numFmtId="164" fontId="0" fillId="0" borderId="0" xfId="0" quotePrefix="1" applyNumberFormat="1"/>
    <xf numFmtId="0" fontId="1" fillId="0" borderId="0" xfId="0" applyFont="1" applyAlignment="1">
      <alignment horizontal="center"/>
    </xf>
    <xf numFmtId="167" fontId="14" fillId="3" borderId="0" xfId="0" applyNumberFormat="1" applyFont="1" applyFill="1" applyAlignment="1">
      <alignment horizontal="center"/>
    </xf>
    <xf numFmtId="0" fontId="4" fillId="4" borderId="0" xfId="0" quotePrefix="1" applyFont="1" applyFill="1"/>
    <xf numFmtId="0" fontId="14" fillId="4" borderId="0" xfId="0" applyFont="1" applyFill="1"/>
    <xf numFmtId="0" fontId="4" fillId="3" borderId="0" xfId="0" applyFont="1" applyFill="1" applyAlignment="1">
      <alignment horizontal="center" vertical="top" wrapText="1"/>
    </xf>
    <xf numFmtId="0" fontId="4" fillId="3" borderId="0" xfId="0" applyFont="1" applyFill="1" applyAlignment="1">
      <alignment horizontal="center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Continuous compounding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288696454457554"/>
          <c:y val="0.10416995623492051"/>
          <c:w val="0.4848084914196274"/>
          <c:h val="0.81382459026907006"/>
        </c:manualLayout>
      </c:layout>
      <c:scatterChart>
        <c:scatterStyle val="lineMarker"/>
        <c:varyColors val="0"/>
        <c:ser>
          <c:idx val="0"/>
          <c:order val="0"/>
          <c:tx>
            <c:v>Compound factor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'HW2a discount rate vba'!$C$5:$C$1004</c:f>
              <c:numCache>
                <c:formatCode>General</c:formatCode>
                <c:ptCount val="1000"/>
                <c:pt idx="0">
                  <c:v>2.7397260273972603E-3</c:v>
                </c:pt>
                <c:pt idx="1">
                  <c:v>5.4794520547945206E-3</c:v>
                </c:pt>
                <c:pt idx="2">
                  <c:v>8.21917808219178E-3</c:v>
                </c:pt>
                <c:pt idx="3">
                  <c:v>1.0958904109589041E-2</c:v>
                </c:pt>
                <c:pt idx="4">
                  <c:v>1.3698630136986301E-2</c:v>
                </c:pt>
                <c:pt idx="5">
                  <c:v>1.643835616438356E-2</c:v>
                </c:pt>
                <c:pt idx="6">
                  <c:v>1.9178082191780823E-2</c:v>
                </c:pt>
                <c:pt idx="7">
                  <c:v>2.1917808219178082E-2</c:v>
                </c:pt>
                <c:pt idx="8">
                  <c:v>2.4657534246575342E-2</c:v>
                </c:pt>
                <c:pt idx="9">
                  <c:v>2.7397260273972601E-2</c:v>
                </c:pt>
                <c:pt idx="10">
                  <c:v>3.0136986301369864E-2</c:v>
                </c:pt>
                <c:pt idx="11">
                  <c:v>3.287671232876712E-2</c:v>
                </c:pt>
                <c:pt idx="12">
                  <c:v>3.5616438356164383E-2</c:v>
                </c:pt>
                <c:pt idx="13">
                  <c:v>3.8356164383561646E-2</c:v>
                </c:pt>
                <c:pt idx="14">
                  <c:v>4.1095890410958902E-2</c:v>
                </c:pt>
                <c:pt idx="15">
                  <c:v>4.3835616438356165E-2</c:v>
                </c:pt>
                <c:pt idx="16">
                  <c:v>4.6575342465753428E-2</c:v>
                </c:pt>
                <c:pt idx="17">
                  <c:v>4.9315068493150684E-2</c:v>
                </c:pt>
                <c:pt idx="18">
                  <c:v>5.2054794520547946E-2</c:v>
                </c:pt>
                <c:pt idx="19">
                  <c:v>5.4794520547945202E-2</c:v>
                </c:pt>
                <c:pt idx="20">
                  <c:v>5.7534246575342465E-2</c:v>
                </c:pt>
                <c:pt idx="21">
                  <c:v>6.0273972602739728E-2</c:v>
                </c:pt>
                <c:pt idx="22">
                  <c:v>6.3013698630136991E-2</c:v>
                </c:pt>
                <c:pt idx="23">
                  <c:v>6.575342465753424E-2</c:v>
                </c:pt>
                <c:pt idx="24">
                  <c:v>6.8493150684931503E-2</c:v>
                </c:pt>
                <c:pt idx="25">
                  <c:v>7.1232876712328766E-2</c:v>
                </c:pt>
                <c:pt idx="26">
                  <c:v>7.3972602739726029E-2</c:v>
                </c:pt>
                <c:pt idx="27">
                  <c:v>7.6712328767123292E-2</c:v>
                </c:pt>
                <c:pt idx="28">
                  <c:v>7.9452054794520555E-2</c:v>
                </c:pt>
                <c:pt idx="29">
                  <c:v>8.2191780821917804E-2</c:v>
                </c:pt>
                <c:pt idx="30">
                  <c:v>8.4931506849315067E-2</c:v>
                </c:pt>
                <c:pt idx="31">
                  <c:v>8.7671232876712329E-2</c:v>
                </c:pt>
                <c:pt idx="32">
                  <c:v>9.0410958904109592E-2</c:v>
                </c:pt>
                <c:pt idx="33">
                  <c:v>9.3150684931506855E-2</c:v>
                </c:pt>
                <c:pt idx="34">
                  <c:v>9.5890410958904104E-2</c:v>
                </c:pt>
                <c:pt idx="35">
                  <c:v>9.8630136986301367E-2</c:v>
                </c:pt>
                <c:pt idx="36">
                  <c:v>0.10136986301369863</c:v>
                </c:pt>
                <c:pt idx="37">
                  <c:v>0.10410958904109589</c:v>
                </c:pt>
                <c:pt idx="38">
                  <c:v>0.10684931506849316</c:v>
                </c:pt>
                <c:pt idx="39">
                  <c:v>0.1095890410958904</c:v>
                </c:pt>
                <c:pt idx="40">
                  <c:v>0.11232876712328767</c:v>
                </c:pt>
                <c:pt idx="41">
                  <c:v>0.11506849315068493</c:v>
                </c:pt>
                <c:pt idx="42">
                  <c:v>0.11780821917808219</c:v>
                </c:pt>
                <c:pt idx="43">
                  <c:v>0.12054794520547946</c:v>
                </c:pt>
                <c:pt idx="44">
                  <c:v>0.12328767123287671</c:v>
                </c:pt>
                <c:pt idx="45">
                  <c:v>0.12602739726027398</c:v>
                </c:pt>
                <c:pt idx="46">
                  <c:v>0.12876712328767123</c:v>
                </c:pt>
                <c:pt idx="47">
                  <c:v>0.13150684931506848</c:v>
                </c:pt>
                <c:pt idx="48">
                  <c:v>0.13424657534246576</c:v>
                </c:pt>
                <c:pt idx="49">
                  <c:v>0.13698630136986301</c:v>
                </c:pt>
                <c:pt idx="50">
                  <c:v>0.13972602739726028</c:v>
                </c:pt>
                <c:pt idx="51">
                  <c:v>0.14246575342465753</c:v>
                </c:pt>
                <c:pt idx="52">
                  <c:v>0.14520547945205478</c:v>
                </c:pt>
                <c:pt idx="53">
                  <c:v>0.14794520547945206</c:v>
                </c:pt>
                <c:pt idx="54">
                  <c:v>0.15068493150684931</c:v>
                </c:pt>
                <c:pt idx="55">
                  <c:v>0.15342465753424658</c:v>
                </c:pt>
                <c:pt idx="56">
                  <c:v>0.15616438356164383</c:v>
                </c:pt>
                <c:pt idx="57">
                  <c:v>0.15890410958904111</c:v>
                </c:pt>
                <c:pt idx="58">
                  <c:v>0.16164383561643836</c:v>
                </c:pt>
                <c:pt idx="59">
                  <c:v>0.16438356164383561</c:v>
                </c:pt>
                <c:pt idx="60">
                  <c:v>0.16712328767123288</c:v>
                </c:pt>
                <c:pt idx="61">
                  <c:v>0.16986301369863013</c:v>
                </c:pt>
                <c:pt idx="62">
                  <c:v>0.17260273972602741</c:v>
                </c:pt>
                <c:pt idx="63">
                  <c:v>0.17534246575342466</c:v>
                </c:pt>
                <c:pt idx="64">
                  <c:v>0.17808219178082191</c:v>
                </c:pt>
                <c:pt idx="65">
                  <c:v>0.18082191780821918</c:v>
                </c:pt>
                <c:pt idx="66">
                  <c:v>0.18356164383561643</c:v>
                </c:pt>
                <c:pt idx="67">
                  <c:v>0.18630136986301371</c:v>
                </c:pt>
                <c:pt idx="68">
                  <c:v>0.18904109589041096</c:v>
                </c:pt>
                <c:pt idx="69">
                  <c:v>0.19178082191780821</c:v>
                </c:pt>
                <c:pt idx="70">
                  <c:v>0.19452054794520549</c:v>
                </c:pt>
                <c:pt idx="71">
                  <c:v>0.19726027397260273</c:v>
                </c:pt>
                <c:pt idx="72">
                  <c:v>0.2</c:v>
                </c:pt>
                <c:pt idx="73">
                  <c:v>0.20273972602739726</c:v>
                </c:pt>
                <c:pt idx="74">
                  <c:v>0.20547945205479451</c:v>
                </c:pt>
                <c:pt idx="75">
                  <c:v>0.20821917808219179</c:v>
                </c:pt>
                <c:pt idx="76">
                  <c:v>0.21095890410958903</c:v>
                </c:pt>
                <c:pt idx="77">
                  <c:v>0.21369863013698631</c:v>
                </c:pt>
                <c:pt idx="78">
                  <c:v>0.21643835616438356</c:v>
                </c:pt>
                <c:pt idx="79">
                  <c:v>0.21917808219178081</c:v>
                </c:pt>
                <c:pt idx="80">
                  <c:v>0.22191780821917809</c:v>
                </c:pt>
                <c:pt idx="81">
                  <c:v>0.22465753424657534</c:v>
                </c:pt>
                <c:pt idx="82">
                  <c:v>0.22739726027397261</c:v>
                </c:pt>
                <c:pt idx="83">
                  <c:v>0.23013698630136986</c:v>
                </c:pt>
                <c:pt idx="84">
                  <c:v>0.23287671232876711</c:v>
                </c:pt>
                <c:pt idx="85">
                  <c:v>0.23561643835616439</c:v>
                </c:pt>
                <c:pt idx="86">
                  <c:v>0.23835616438356164</c:v>
                </c:pt>
                <c:pt idx="87">
                  <c:v>0.24109589041095891</c:v>
                </c:pt>
                <c:pt idx="88">
                  <c:v>0.24383561643835616</c:v>
                </c:pt>
                <c:pt idx="89">
                  <c:v>0.24657534246575341</c:v>
                </c:pt>
                <c:pt idx="90">
                  <c:v>0.24931506849315069</c:v>
                </c:pt>
                <c:pt idx="91">
                  <c:v>0.25205479452054796</c:v>
                </c:pt>
                <c:pt idx="92">
                  <c:v>0.25479452054794521</c:v>
                </c:pt>
                <c:pt idx="93">
                  <c:v>0.25753424657534246</c:v>
                </c:pt>
                <c:pt idx="94">
                  <c:v>0.26027397260273971</c:v>
                </c:pt>
                <c:pt idx="95">
                  <c:v>0.26301369863013696</c:v>
                </c:pt>
                <c:pt idx="96">
                  <c:v>0.26575342465753427</c:v>
                </c:pt>
                <c:pt idx="97">
                  <c:v>0.26849315068493151</c:v>
                </c:pt>
                <c:pt idx="98">
                  <c:v>0.27123287671232876</c:v>
                </c:pt>
                <c:pt idx="99">
                  <c:v>0.27397260273972601</c:v>
                </c:pt>
                <c:pt idx="100">
                  <c:v>0.27671232876712326</c:v>
                </c:pt>
                <c:pt idx="101">
                  <c:v>0.27945205479452057</c:v>
                </c:pt>
                <c:pt idx="102">
                  <c:v>0.28219178082191781</c:v>
                </c:pt>
                <c:pt idx="103">
                  <c:v>0.28493150684931506</c:v>
                </c:pt>
                <c:pt idx="104">
                  <c:v>0.28767123287671231</c:v>
                </c:pt>
                <c:pt idx="105">
                  <c:v>0.29041095890410956</c:v>
                </c:pt>
                <c:pt idx="106">
                  <c:v>0.29315068493150687</c:v>
                </c:pt>
                <c:pt idx="107">
                  <c:v>0.29589041095890412</c:v>
                </c:pt>
                <c:pt idx="108">
                  <c:v>0.29863013698630136</c:v>
                </c:pt>
                <c:pt idx="109">
                  <c:v>0.30136986301369861</c:v>
                </c:pt>
                <c:pt idx="110">
                  <c:v>0.30410958904109592</c:v>
                </c:pt>
                <c:pt idx="111">
                  <c:v>0.30684931506849317</c:v>
                </c:pt>
                <c:pt idx="112">
                  <c:v>0.30958904109589042</c:v>
                </c:pt>
                <c:pt idx="113">
                  <c:v>0.31232876712328766</c:v>
                </c:pt>
                <c:pt idx="114">
                  <c:v>0.31506849315068491</c:v>
                </c:pt>
                <c:pt idx="115">
                  <c:v>0.31780821917808222</c:v>
                </c:pt>
                <c:pt idx="116">
                  <c:v>0.32054794520547947</c:v>
                </c:pt>
                <c:pt idx="117">
                  <c:v>0.32328767123287672</c:v>
                </c:pt>
                <c:pt idx="118">
                  <c:v>0.32602739726027397</c:v>
                </c:pt>
                <c:pt idx="119">
                  <c:v>0.32876712328767121</c:v>
                </c:pt>
                <c:pt idx="120">
                  <c:v>0.33150684931506852</c:v>
                </c:pt>
                <c:pt idx="121">
                  <c:v>0.33424657534246577</c:v>
                </c:pt>
                <c:pt idx="122">
                  <c:v>0.33698630136986302</c:v>
                </c:pt>
                <c:pt idx="123">
                  <c:v>0.33972602739726027</c:v>
                </c:pt>
                <c:pt idx="124">
                  <c:v>0.34246575342465752</c:v>
                </c:pt>
                <c:pt idx="125">
                  <c:v>0.34520547945205482</c:v>
                </c:pt>
                <c:pt idx="126">
                  <c:v>0.34794520547945207</c:v>
                </c:pt>
                <c:pt idx="127">
                  <c:v>0.35068493150684932</c:v>
                </c:pt>
                <c:pt idx="128">
                  <c:v>0.35342465753424657</c:v>
                </c:pt>
                <c:pt idx="129">
                  <c:v>0.35616438356164382</c:v>
                </c:pt>
                <c:pt idx="130">
                  <c:v>0.35890410958904112</c:v>
                </c:pt>
                <c:pt idx="131">
                  <c:v>0.36164383561643837</c:v>
                </c:pt>
                <c:pt idx="132">
                  <c:v>0.36438356164383562</c:v>
                </c:pt>
                <c:pt idx="133">
                  <c:v>0.36712328767123287</c:v>
                </c:pt>
                <c:pt idx="134">
                  <c:v>0.36986301369863012</c:v>
                </c:pt>
                <c:pt idx="135">
                  <c:v>0.37260273972602742</c:v>
                </c:pt>
                <c:pt idx="136">
                  <c:v>0.37534246575342467</c:v>
                </c:pt>
                <c:pt idx="137">
                  <c:v>0.37808219178082192</c:v>
                </c:pt>
                <c:pt idx="138">
                  <c:v>0.38082191780821917</c:v>
                </c:pt>
                <c:pt idx="139">
                  <c:v>0.38356164383561642</c:v>
                </c:pt>
                <c:pt idx="140">
                  <c:v>0.38630136986301372</c:v>
                </c:pt>
                <c:pt idx="141">
                  <c:v>0.38904109589041097</c:v>
                </c:pt>
                <c:pt idx="142">
                  <c:v>0.39178082191780822</c:v>
                </c:pt>
                <c:pt idx="143">
                  <c:v>0.39452054794520547</c:v>
                </c:pt>
                <c:pt idx="144">
                  <c:v>0.39726027397260272</c:v>
                </c:pt>
                <c:pt idx="145">
                  <c:v>0.4</c:v>
                </c:pt>
                <c:pt idx="146">
                  <c:v>0.40273972602739727</c:v>
                </c:pt>
                <c:pt idx="147">
                  <c:v>0.40547945205479452</c:v>
                </c:pt>
                <c:pt idx="148">
                  <c:v>0.40821917808219177</c:v>
                </c:pt>
                <c:pt idx="149">
                  <c:v>0.41095890410958902</c:v>
                </c:pt>
                <c:pt idx="150">
                  <c:v>0.41369863013698632</c:v>
                </c:pt>
                <c:pt idx="151">
                  <c:v>0.41643835616438357</c:v>
                </c:pt>
                <c:pt idx="152">
                  <c:v>0.41917808219178082</c:v>
                </c:pt>
                <c:pt idx="153">
                  <c:v>0.42191780821917807</c:v>
                </c:pt>
                <c:pt idx="154">
                  <c:v>0.42465753424657532</c:v>
                </c:pt>
                <c:pt idx="155">
                  <c:v>0.42739726027397262</c:v>
                </c:pt>
                <c:pt idx="156">
                  <c:v>0.43013698630136987</c:v>
                </c:pt>
                <c:pt idx="157">
                  <c:v>0.43287671232876712</c:v>
                </c:pt>
                <c:pt idx="158">
                  <c:v>0.43561643835616437</c:v>
                </c:pt>
                <c:pt idx="159">
                  <c:v>0.43835616438356162</c:v>
                </c:pt>
                <c:pt idx="160">
                  <c:v>0.44109589041095892</c:v>
                </c:pt>
                <c:pt idx="161">
                  <c:v>0.44383561643835617</c:v>
                </c:pt>
                <c:pt idx="162">
                  <c:v>0.44657534246575342</c:v>
                </c:pt>
                <c:pt idx="163">
                  <c:v>0.44931506849315067</c:v>
                </c:pt>
                <c:pt idx="164">
                  <c:v>0.45205479452054792</c:v>
                </c:pt>
                <c:pt idx="165">
                  <c:v>0.45479452054794522</c:v>
                </c:pt>
                <c:pt idx="166">
                  <c:v>0.45753424657534247</c:v>
                </c:pt>
                <c:pt idx="167">
                  <c:v>0.46027397260273972</c:v>
                </c:pt>
                <c:pt idx="168">
                  <c:v>0.46301369863013697</c:v>
                </c:pt>
                <c:pt idx="169">
                  <c:v>0.46575342465753422</c:v>
                </c:pt>
                <c:pt idx="170">
                  <c:v>0.46849315068493153</c:v>
                </c:pt>
                <c:pt idx="171">
                  <c:v>0.47123287671232877</c:v>
                </c:pt>
                <c:pt idx="172">
                  <c:v>0.47397260273972602</c:v>
                </c:pt>
                <c:pt idx="173">
                  <c:v>0.47671232876712327</c:v>
                </c:pt>
                <c:pt idx="174">
                  <c:v>0.47945205479452052</c:v>
                </c:pt>
                <c:pt idx="175">
                  <c:v>0.48219178082191783</c:v>
                </c:pt>
                <c:pt idx="176">
                  <c:v>0.48493150684931507</c:v>
                </c:pt>
                <c:pt idx="177">
                  <c:v>0.48767123287671232</c:v>
                </c:pt>
                <c:pt idx="178">
                  <c:v>0.49041095890410957</c:v>
                </c:pt>
                <c:pt idx="179">
                  <c:v>0.49315068493150682</c:v>
                </c:pt>
                <c:pt idx="180">
                  <c:v>0.49589041095890413</c:v>
                </c:pt>
                <c:pt idx="181">
                  <c:v>0.49863013698630138</c:v>
                </c:pt>
                <c:pt idx="182">
                  <c:v>0.50136986301369868</c:v>
                </c:pt>
                <c:pt idx="183">
                  <c:v>0.50410958904109593</c:v>
                </c:pt>
                <c:pt idx="184">
                  <c:v>0.50684931506849318</c:v>
                </c:pt>
                <c:pt idx="185">
                  <c:v>0.50958904109589043</c:v>
                </c:pt>
                <c:pt idx="186">
                  <c:v>0.51232876712328768</c:v>
                </c:pt>
                <c:pt idx="187">
                  <c:v>0.51506849315068493</c:v>
                </c:pt>
                <c:pt idx="188">
                  <c:v>0.51780821917808217</c:v>
                </c:pt>
                <c:pt idx="189">
                  <c:v>0.52054794520547942</c:v>
                </c:pt>
                <c:pt idx="190">
                  <c:v>0.52328767123287667</c:v>
                </c:pt>
                <c:pt idx="191">
                  <c:v>0.52602739726027392</c:v>
                </c:pt>
                <c:pt idx="192">
                  <c:v>0.52876712328767128</c:v>
                </c:pt>
                <c:pt idx="193">
                  <c:v>0.53150684931506853</c:v>
                </c:pt>
                <c:pt idx="194">
                  <c:v>0.53424657534246578</c:v>
                </c:pt>
                <c:pt idx="195">
                  <c:v>0.53698630136986303</c:v>
                </c:pt>
                <c:pt idx="196">
                  <c:v>0.53972602739726028</c:v>
                </c:pt>
                <c:pt idx="197">
                  <c:v>0.54246575342465753</c:v>
                </c:pt>
                <c:pt idx="198">
                  <c:v>0.54520547945205478</c:v>
                </c:pt>
                <c:pt idx="199">
                  <c:v>0.54794520547945202</c:v>
                </c:pt>
                <c:pt idx="200">
                  <c:v>0.55068493150684927</c:v>
                </c:pt>
                <c:pt idx="201">
                  <c:v>0.55342465753424652</c:v>
                </c:pt>
                <c:pt idx="202">
                  <c:v>0.55616438356164388</c:v>
                </c:pt>
                <c:pt idx="203">
                  <c:v>0.55890410958904113</c:v>
                </c:pt>
                <c:pt idx="204">
                  <c:v>0.56164383561643838</c:v>
                </c:pt>
                <c:pt idx="205">
                  <c:v>0.56438356164383563</c:v>
                </c:pt>
                <c:pt idx="206">
                  <c:v>0.56712328767123288</c:v>
                </c:pt>
                <c:pt idx="207">
                  <c:v>0.56986301369863013</c:v>
                </c:pt>
                <c:pt idx="208">
                  <c:v>0.57260273972602738</c:v>
                </c:pt>
                <c:pt idx="209">
                  <c:v>0.57534246575342463</c:v>
                </c:pt>
                <c:pt idx="210">
                  <c:v>0.57808219178082187</c:v>
                </c:pt>
                <c:pt idx="211">
                  <c:v>0.58082191780821912</c:v>
                </c:pt>
                <c:pt idx="212">
                  <c:v>0.58356164383561648</c:v>
                </c:pt>
                <c:pt idx="213">
                  <c:v>0.58630136986301373</c:v>
                </c:pt>
                <c:pt idx="214">
                  <c:v>0.58904109589041098</c:v>
                </c:pt>
                <c:pt idx="215">
                  <c:v>0.59178082191780823</c:v>
                </c:pt>
                <c:pt idx="216">
                  <c:v>0.59452054794520548</c:v>
                </c:pt>
                <c:pt idx="217">
                  <c:v>0.59726027397260273</c:v>
                </c:pt>
                <c:pt idx="218">
                  <c:v>0.6</c:v>
                </c:pt>
                <c:pt idx="219">
                  <c:v>0.60273972602739723</c:v>
                </c:pt>
                <c:pt idx="220">
                  <c:v>0.60547945205479448</c:v>
                </c:pt>
                <c:pt idx="221">
                  <c:v>0.60821917808219184</c:v>
                </c:pt>
                <c:pt idx="222">
                  <c:v>0.61095890410958908</c:v>
                </c:pt>
                <c:pt idx="223">
                  <c:v>0.61369863013698633</c:v>
                </c:pt>
                <c:pt idx="224">
                  <c:v>0.61643835616438358</c:v>
                </c:pt>
                <c:pt idx="225">
                  <c:v>0.61917808219178083</c:v>
                </c:pt>
                <c:pt idx="226">
                  <c:v>0.62191780821917808</c:v>
                </c:pt>
                <c:pt idx="227">
                  <c:v>0.62465753424657533</c:v>
                </c:pt>
                <c:pt idx="228">
                  <c:v>0.62739726027397258</c:v>
                </c:pt>
                <c:pt idx="229">
                  <c:v>0.63013698630136983</c:v>
                </c:pt>
                <c:pt idx="230">
                  <c:v>0.63287671232876708</c:v>
                </c:pt>
                <c:pt idx="231">
                  <c:v>0.63561643835616444</c:v>
                </c:pt>
                <c:pt idx="232">
                  <c:v>0.63835616438356169</c:v>
                </c:pt>
                <c:pt idx="233">
                  <c:v>0.64109589041095894</c:v>
                </c:pt>
                <c:pt idx="234">
                  <c:v>0.64383561643835618</c:v>
                </c:pt>
                <c:pt idx="235">
                  <c:v>0.64657534246575343</c:v>
                </c:pt>
                <c:pt idx="236">
                  <c:v>0.64931506849315068</c:v>
                </c:pt>
                <c:pt idx="237">
                  <c:v>0.65205479452054793</c:v>
                </c:pt>
                <c:pt idx="238">
                  <c:v>0.65479452054794518</c:v>
                </c:pt>
                <c:pt idx="239">
                  <c:v>0.65753424657534243</c:v>
                </c:pt>
                <c:pt idx="240">
                  <c:v>0.66027397260273968</c:v>
                </c:pt>
              </c:numCache>
            </c:numRef>
          </c:xVal>
          <c:yVal>
            <c:numRef>
              <c:f>'HW2a discount rate vba'!$D$5:$D$1004</c:f>
              <c:numCache>
                <c:formatCode>0.000</c:formatCode>
                <c:ptCount val="1000"/>
                <c:pt idx="0">
                  <c:v>1.0001369956844217</c:v>
                </c:pt>
                <c:pt idx="1">
                  <c:v>1.000274010136661</c:v>
                </c:pt>
                <c:pt idx="2">
                  <c:v>1.0004110433592888</c:v>
                </c:pt>
                <c:pt idx="3">
                  <c:v>1.0005480953548769</c:v>
                </c:pt>
                <c:pt idx="4">
                  <c:v>1.0006851661259968</c:v>
                </c:pt>
                <c:pt idx="5">
                  <c:v>1.0008222556752209</c:v>
                </c:pt>
                <c:pt idx="6">
                  <c:v>1.0009593640051215</c:v>
                </c:pt>
                <c:pt idx="7">
                  <c:v>1.0010964911182718</c:v>
                </c:pt>
                <c:pt idx="8">
                  <c:v>1.0012336370172445</c:v>
                </c:pt>
                <c:pt idx="9">
                  <c:v>1.0013708017046139</c:v>
                </c:pt>
                <c:pt idx="10">
                  <c:v>1.0015079851829534</c:v>
                </c:pt>
                <c:pt idx="11">
                  <c:v>1.0016451874548371</c:v>
                </c:pt>
                <c:pt idx="12">
                  <c:v>1.0017824085228402</c:v>
                </c:pt>
                <c:pt idx="13">
                  <c:v>1.0019196483895374</c:v>
                </c:pt>
                <c:pt idx="14">
                  <c:v>1.0020569070575041</c:v>
                </c:pt>
                <c:pt idx="15">
                  <c:v>1.0021941845293159</c:v>
                </c:pt>
                <c:pt idx="16">
                  <c:v>1.002331480807549</c:v>
                </c:pt>
                <c:pt idx="17">
                  <c:v>1.0024687958947796</c:v>
                </c:pt>
                <c:pt idx="18">
                  <c:v>1.0026061297935847</c:v>
                </c:pt>
                <c:pt idx="19">
                  <c:v>1.0027434825065411</c:v>
                </c:pt>
                <c:pt idx="20">
                  <c:v>1.0028808540362264</c:v>
                </c:pt>
                <c:pt idx="21">
                  <c:v>1.0030182443852185</c:v>
                </c:pt>
                <c:pt idx="22">
                  <c:v>1.0031556535560955</c:v>
                </c:pt>
                <c:pt idx="23">
                  <c:v>1.0032930815514358</c:v>
                </c:pt>
                <c:pt idx="24">
                  <c:v>1.0034305283738185</c:v>
                </c:pt>
                <c:pt idx="25">
                  <c:v>1.0035679940258229</c:v>
                </c:pt>
                <c:pt idx="26">
                  <c:v>1.0037054785100281</c:v>
                </c:pt>
                <c:pt idx="27">
                  <c:v>1.0038429818290144</c:v>
                </c:pt>
                <c:pt idx="28">
                  <c:v>1.003980503985362</c:v>
                </c:pt>
                <c:pt idx="29">
                  <c:v>1.0041180449816514</c:v>
                </c:pt>
                <c:pt idx="30">
                  <c:v>1.0042556048204638</c:v>
                </c:pt>
                <c:pt idx="31">
                  <c:v>1.0043931835043804</c:v>
                </c:pt>
                <c:pt idx="32">
                  <c:v>1.0045307810359831</c:v>
                </c:pt>
                <c:pt idx="33">
                  <c:v>1.0046683974178539</c:v>
                </c:pt>
                <c:pt idx="34">
                  <c:v>1.004806032652575</c:v>
                </c:pt>
                <c:pt idx="35">
                  <c:v>1.0049436867427293</c:v>
                </c:pt>
                <c:pt idx="36">
                  <c:v>1.0050813596908998</c:v>
                </c:pt>
                <c:pt idx="37">
                  <c:v>1.0052190514996702</c:v>
                </c:pt>
                <c:pt idx="38">
                  <c:v>1.0053567621716242</c:v>
                </c:pt>
                <c:pt idx="39">
                  <c:v>1.0054944917093458</c:v>
                </c:pt>
                <c:pt idx="40">
                  <c:v>1.0056322401154196</c:v>
                </c:pt>
                <c:pt idx="41">
                  <c:v>1.0057700073924309</c:v>
                </c:pt>
                <c:pt idx="42">
                  <c:v>1.0059077935429643</c:v>
                </c:pt>
                <c:pt idx="43">
                  <c:v>1.006045598569606</c:v>
                </c:pt>
                <c:pt idx="44">
                  <c:v>1.0061834224749413</c:v>
                </c:pt>
                <c:pt idx="45">
                  <c:v>1.0063212652615572</c:v>
                </c:pt>
                <c:pt idx="46">
                  <c:v>1.0064591269320398</c:v>
                </c:pt>
                <c:pt idx="47">
                  <c:v>1.0065970074889763</c:v>
                </c:pt>
                <c:pt idx="48">
                  <c:v>1.006734906934954</c:v>
                </c:pt>
                <c:pt idx="49">
                  <c:v>1.0068728252725607</c:v>
                </c:pt>
                <c:pt idx="50">
                  <c:v>1.0070107625043845</c:v>
                </c:pt>
                <c:pt idx="51">
                  <c:v>1.0071487186330139</c:v>
                </c:pt>
                <c:pt idx="52">
                  <c:v>1.0072866936610374</c:v>
                </c:pt>
                <c:pt idx="53">
                  <c:v>1.0074246875910444</c:v>
                </c:pt>
                <c:pt idx="54">
                  <c:v>1.0075627004256242</c:v>
                </c:pt>
                <c:pt idx="55">
                  <c:v>1.0077007321673668</c:v>
                </c:pt>
                <c:pt idx="56">
                  <c:v>1.0078387828188624</c:v>
                </c:pt>
                <c:pt idx="57">
                  <c:v>1.0079768523827013</c:v>
                </c:pt>
                <c:pt idx="58">
                  <c:v>1.0081149408614747</c:v>
                </c:pt>
                <c:pt idx="59">
                  <c:v>1.0082530482577738</c:v>
                </c:pt>
                <c:pt idx="60">
                  <c:v>1.00839117457419</c:v>
                </c:pt>
                <c:pt idx="61">
                  <c:v>1.0085293198133156</c:v>
                </c:pt>
                <c:pt idx="62">
                  <c:v>1.0086674839777428</c:v>
                </c:pt>
                <c:pt idx="63">
                  <c:v>1.0088056670700642</c:v>
                </c:pt>
                <c:pt idx="64">
                  <c:v>1.0089438690928729</c:v>
                </c:pt>
                <c:pt idx="65">
                  <c:v>1.0090820900487625</c:v>
                </c:pt>
                <c:pt idx="66">
                  <c:v>1.0092203299403264</c:v>
                </c:pt>
                <c:pt idx="67">
                  <c:v>1.0093585887701588</c:v>
                </c:pt>
                <c:pt idx="68">
                  <c:v>1.0094968665408544</c:v>
                </c:pt>
                <c:pt idx="69">
                  <c:v>1.0096351632550076</c:v>
                </c:pt>
                <c:pt idx="70">
                  <c:v>1.009773478915214</c:v>
                </c:pt>
                <c:pt idx="71">
                  <c:v>1.0099118135240688</c:v>
                </c:pt>
                <c:pt idx="72">
                  <c:v>1.0100501670841679</c:v>
                </c:pt>
                <c:pt idx="73">
                  <c:v>1.0101885395981081</c:v>
                </c:pt>
                <c:pt idx="74">
                  <c:v>1.0103269310684853</c:v>
                </c:pt>
                <c:pt idx="75">
                  <c:v>1.0104653414978966</c:v>
                </c:pt>
                <c:pt idx="76">
                  <c:v>1.0106037708889395</c:v>
                </c:pt>
                <c:pt idx="77">
                  <c:v>1.0107422192442115</c:v>
                </c:pt>
                <c:pt idx="78">
                  <c:v>1.0108806865663109</c:v>
                </c:pt>
                <c:pt idx="79">
                  <c:v>1.0110191728578357</c:v>
                </c:pt>
                <c:pt idx="80">
                  <c:v>1.0111576781213847</c:v>
                </c:pt>
                <c:pt idx="81">
                  <c:v>1.0112962023595573</c:v>
                </c:pt>
                <c:pt idx="82">
                  <c:v>1.0114347455749526</c:v>
                </c:pt>
                <c:pt idx="83">
                  <c:v>1.0115733077701705</c:v>
                </c:pt>
                <c:pt idx="84">
                  <c:v>1.0117118889478112</c:v>
                </c:pt>
                <c:pt idx="85">
                  <c:v>1.0118504891104751</c:v>
                </c:pt>
                <c:pt idx="86">
                  <c:v>1.0119891082607633</c:v>
                </c:pt>
                <c:pt idx="87">
                  <c:v>1.0121277464012768</c:v>
                </c:pt>
                <c:pt idx="88">
                  <c:v>1.0122664035346172</c:v>
                </c:pt>
                <c:pt idx="89">
                  <c:v>1.0124050796633863</c:v>
                </c:pt>
                <c:pt idx="90">
                  <c:v>1.0125437747901869</c:v>
                </c:pt>
                <c:pt idx="91">
                  <c:v>1.0126824889176211</c:v>
                </c:pt>
                <c:pt idx="92">
                  <c:v>1.0128212220482924</c:v>
                </c:pt>
                <c:pt idx="93">
                  <c:v>1.0129599741848037</c:v>
                </c:pt>
                <c:pt idx="94">
                  <c:v>1.0130987453297589</c:v>
                </c:pt>
                <c:pt idx="95">
                  <c:v>1.0132375354857621</c:v>
                </c:pt>
                <c:pt idx="96">
                  <c:v>1.0133763446554176</c:v>
                </c:pt>
                <c:pt idx="97">
                  <c:v>1.0135151728413305</c:v>
                </c:pt>
                <c:pt idx="98">
                  <c:v>1.0136540200461057</c:v>
                </c:pt>
                <c:pt idx="99">
                  <c:v>1.0137928862723486</c:v>
                </c:pt>
                <c:pt idx="100">
                  <c:v>1.0139317715226654</c:v>
                </c:pt>
                <c:pt idx="101">
                  <c:v>1.014070675799662</c:v>
                </c:pt>
                <c:pt idx="102">
                  <c:v>1.0142095991059452</c:v>
                </c:pt>
                <c:pt idx="103">
                  <c:v>1.0143485414441218</c:v>
                </c:pt>
                <c:pt idx="104">
                  <c:v>1.014487502816799</c:v>
                </c:pt>
                <c:pt idx="105">
                  <c:v>1.0146264832265848</c:v>
                </c:pt>
                <c:pt idx="106">
                  <c:v>1.0147654826760866</c:v>
                </c:pt>
                <c:pt idx="107">
                  <c:v>1.0149045011679134</c:v>
                </c:pt>
                <c:pt idx="108">
                  <c:v>1.0150435387046735</c:v>
                </c:pt>
                <c:pt idx="109">
                  <c:v>1.0151825952889761</c:v>
                </c:pt>
                <c:pt idx="110">
                  <c:v>1.0153216709234307</c:v>
                </c:pt>
                <c:pt idx="111">
                  <c:v>1.0154607656106471</c:v>
                </c:pt>
                <c:pt idx="112">
                  <c:v>1.0155998793532353</c:v>
                </c:pt>
                <c:pt idx="113">
                  <c:v>1.0157390121538059</c:v>
                </c:pt>
                <c:pt idx="114">
                  <c:v>1.0158781640149697</c:v>
                </c:pt>
                <c:pt idx="115">
                  <c:v>1.016017334939338</c:v>
                </c:pt>
                <c:pt idx="116">
                  <c:v>1.0161565249295224</c:v>
                </c:pt>
                <c:pt idx="117">
                  <c:v>1.0162957339881347</c:v>
                </c:pt>
                <c:pt idx="118">
                  <c:v>1.0164349621177873</c:v>
                </c:pt>
                <c:pt idx="119">
                  <c:v>1.0165742093210925</c:v>
                </c:pt>
                <c:pt idx="120">
                  <c:v>1.0167134756006639</c:v>
                </c:pt>
                <c:pt idx="121">
                  <c:v>1.0168527609591147</c:v>
                </c:pt>
                <c:pt idx="122">
                  <c:v>1.0169920653990583</c:v>
                </c:pt>
                <c:pt idx="123">
                  <c:v>1.0171313889231091</c:v>
                </c:pt>
                <c:pt idx="124">
                  <c:v>1.0172707315338814</c:v>
                </c:pt>
                <c:pt idx="125">
                  <c:v>1.01741009323399</c:v>
                </c:pt>
                <c:pt idx="126">
                  <c:v>1.0175494740260502</c:v>
                </c:pt>
                <c:pt idx="127">
                  <c:v>1.0176888739126773</c:v>
                </c:pt>
                <c:pt idx="128">
                  <c:v>1.0178282928964872</c:v>
                </c:pt>
                <c:pt idx="129">
                  <c:v>1.0179677309800965</c:v>
                </c:pt>
                <c:pt idx="130">
                  <c:v>1.0181071881661212</c:v>
                </c:pt>
                <c:pt idx="131">
                  <c:v>1.0182466644571788</c:v>
                </c:pt>
                <c:pt idx="132">
                  <c:v>1.0183861598558861</c:v>
                </c:pt>
                <c:pt idx="133">
                  <c:v>1.0185256743648612</c:v>
                </c:pt>
                <c:pt idx="134">
                  <c:v>1.0186652079867218</c:v>
                </c:pt>
                <c:pt idx="135">
                  <c:v>1.0188047607240867</c:v>
                </c:pt>
                <c:pt idx="136">
                  <c:v>1.018944332579574</c:v>
                </c:pt>
                <c:pt idx="137">
                  <c:v>1.0190839235558034</c:v>
                </c:pt>
                <c:pt idx="138">
                  <c:v>1.0192235336553941</c:v>
                </c:pt>
                <c:pt idx="139">
                  <c:v>1.0193631628809658</c:v>
                </c:pt>
                <c:pt idx="140">
                  <c:v>1.019502811235139</c:v>
                </c:pt>
                <c:pt idx="141">
                  <c:v>1.019642478720534</c:v>
                </c:pt>
                <c:pt idx="142">
                  <c:v>1.0197821653397716</c:v>
                </c:pt>
                <c:pt idx="143">
                  <c:v>1.0199218710954734</c:v>
                </c:pt>
                <c:pt idx="144">
                  <c:v>1.0200615959902608</c:v>
                </c:pt>
                <c:pt idx="145">
                  <c:v>1.0202013400267558</c:v>
                </c:pt>
                <c:pt idx="146">
                  <c:v>1.0203411032075806</c:v>
                </c:pt>
                <c:pt idx="147">
                  <c:v>1.0204808855353582</c:v>
                </c:pt>
                <c:pt idx="148">
                  <c:v>1.0206206870127115</c:v>
                </c:pt>
                <c:pt idx="149">
                  <c:v>1.0207605076422637</c:v>
                </c:pt>
                <c:pt idx="150">
                  <c:v>1.0209003474266387</c:v>
                </c:pt>
                <c:pt idx="151">
                  <c:v>1.0210402063684607</c:v>
                </c:pt>
                <c:pt idx="152">
                  <c:v>1.0211800844703542</c:v>
                </c:pt>
                <c:pt idx="153">
                  <c:v>1.0213199817349441</c:v>
                </c:pt>
                <c:pt idx="154">
                  <c:v>1.0214598981648555</c:v>
                </c:pt>
                <c:pt idx="155">
                  <c:v>1.0215998337627139</c:v>
                </c:pt>
                <c:pt idx="156">
                  <c:v>1.0217397885311452</c:v>
                </c:pt>
                <c:pt idx="157">
                  <c:v>1.021879762472776</c:v>
                </c:pt>
                <c:pt idx="158">
                  <c:v>1.0220197555902326</c:v>
                </c:pt>
                <c:pt idx="159">
                  <c:v>1.022159767886142</c:v>
                </c:pt>
                <c:pt idx="160">
                  <c:v>1.022299799363132</c:v>
                </c:pt>
                <c:pt idx="161">
                  <c:v>1.0224398500238299</c:v>
                </c:pt>
                <c:pt idx="162">
                  <c:v>1.0225799198708638</c:v>
                </c:pt>
                <c:pt idx="163">
                  <c:v>1.0227200089068624</c:v>
                </c:pt>
                <c:pt idx="164">
                  <c:v>1.0228601171344545</c:v>
                </c:pt>
                <c:pt idx="165">
                  <c:v>1.0230002445562689</c:v>
                </c:pt>
                <c:pt idx="166">
                  <c:v>1.0231403911749355</c:v>
                </c:pt>
                <c:pt idx="167">
                  <c:v>1.0232805569930841</c:v>
                </c:pt>
                <c:pt idx="168">
                  <c:v>1.0234207420133445</c:v>
                </c:pt>
                <c:pt idx="169">
                  <c:v>1.0235609462383481</c:v>
                </c:pt>
                <c:pt idx="170">
                  <c:v>1.0237011696707254</c:v>
                </c:pt>
                <c:pt idx="171">
                  <c:v>1.0238414123131077</c:v>
                </c:pt>
                <c:pt idx="172">
                  <c:v>1.0239816741681267</c:v>
                </c:pt>
                <c:pt idx="173">
                  <c:v>1.0241219552384146</c:v>
                </c:pt>
                <c:pt idx="174">
                  <c:v>1.0242622555266039</c:v>
                </c:pt>
                <c:pt idx="175">
                  <c:v>1.0244025750353269</c:v>
                </c:pt>
                <c:pt idx="176">
                  <c:v>1.0245429137672173</c:v>
                </c:pt>
                <c:pt idx="177">
                  <c:v>1.0246832717249084</c:v>
                </c:pt>
                <c:pt idx="178">
                  <c:v>1.0248236489110336</c:v>
                </c:pt>
                <c:pt idx="179">
                  <c:v>1.0249640453282278</c:v>
                </c:pt>
                <c:pt idx="180">
                  <c:v>1.0251044609791251</c:v>
                </c:pt>
                <c:pt idx="181">
                  <c:v>1.0252448958663607</c:v>
                </c:pt>
                <c:pt idx="182">
                  <c:v>1.0253853499925698</c:v>
                </c:pt>
                <c:pt idx="183">
                  <c:v>1.0255258233603879</c:v>
                </c:pt>
                <c:pt idx="184">
                  <c:v>1.0256663159724513</c:v>
                </c:pt>
                <c:pt idx="185">
                  <c:v>1.0258068278313963</c:v>
                </c:pt>
                <c:pt idx="186">
                  <c:v>1.0259473589398596</c:v>
                </c:pt>
                <c:pt idx="187">
                  <c:v>1.026087909300478</c:v>
                </c:pt>
                <c:pt idx="188">
                  <c:v>1.0262284789158895</c:v>
                </c:pt>
                <c:pt idx="189">
                  <c:v>1.0263690677887316</c:v>
                </c:pt>
                <c:pt idx="190">
                  <c:v>1.0265096759216426</c:v>
                </c:pt>
                <c:pt idx="191">
                  <c:v>1.0266503033172609</c:v>
                </c:pt>
                <c:pt idx="192">
                  <c:v>1.0267909499782257</c:v>
                </c:pt>
                <c:pt idx="193">
                  <c:v>1.026931615907176</c:v>
                </c:pt>
                <c:pt idx="194">
                  <c:v>1.0270723011067513</c:v>
                </c:pt>
                <c:pt idx="195">
                  <c:v>1.0272130055795921</c:v>
                </c:pt>
                <c:pt idx="196">
                  <c:v>1.0273537293283383</c:v>
                </c:pt>
                <c:pt idx="197">
                  <c:v>1.0274944723556307</c:v>
                </c:pt>
                <c:pt idx="198">
                  <c:v>1.0276352346641107</c:v>
                </c:pt>
                <c:pt idx="199">
                  <c:v>1.0277760162564193</c:v>
                </c:pt>
                <c:pt idx="200">
                  <c:v>1.0279168171351987</c:v>
                </c:pt>
                <c:pt idx="201">
                  <c:v>1.0280576373030905</c:v>
                </c:pt>
                <c:pt idx="202">
                  <c:v>1.0281984767627379</c:v>
                </c:pt>
                <c:pt idx="203">
                  <c:v>1.0283393355167834</c:v>
                </c:pt>
                <c:pt idx="204">
                  <c:v>1.0284802135678701</c:v>
                </c:pt>
                <c:pt idx="205">
                  <c:v>1.0286211109186421</c:v>
                </c:pt>
                <c:pt idx="206">
                  <c:v>1.0287620275717431</c:v>
                </c:pt>
                <c:pt idx="207">
                  <c:v>1.0289029635298172</c:v>
                </c:pt>
                <c:pt idx="208">
                  <c:v>1.0290439187955094</c:v>
                </c:pt>
                <c:pt idx="209">
                  <c:v>1.0291848933714649</c:v>
                </c:pt>
                <c:pt idx="210">
                  <c:v>1.0293258872603288</c:v>
                </c:pt>
                <c:pt idx="211">
                  <c:v>1.029466900464747</c:v>
                </c:pt>
                <c:pt idx="212">
                  <c:v>1.0296079329873655</c:v>
                </c:pt>
                <c:pt idx="213">
                  <c:v>1.0297489848308312</c:v>
                </c:pt>
                <c:pt idx="214">
                  <c:v>1.0298900559977906</c:v>
                </c:pt>
                <c:pt idx="215">
                  <c:v>1.0300311464908911</c:v>
                </c:pt>
                <c:pt idx="216">
                  <c:v>1.0301722563127802</c:v>
                </c:pt>
                <c:pt idx="217">
                  <c:v>1.0303133854661062</c:v>
                </c:pt>
                <c:pt idx="218">
                  <c:v>1.0304545339535169</c:v>
                </c:pt>
                <c:pt idx="219">
                  <c:v>1.0305957017776612</c:v>
                </c:pt>
                <c:pt idx="220">
                  <c:v>1.0307368889411883</c:v>
                </c:pt>
                <c:pt idx="221">
                  <c:v>1.0308780954467476</c:v>
                </c:pt>
                <c:pt idx="222">
                  <c:v>1.0310193212969885</c:v>
                </c:pt>
                <c:pt idx="223">
                  <c:v>1.0311605664945616</c:v>
                </c:pt>
                <c:pt idx="224">
                  <c:v>1.0313018310421171</c:v>
                </c:pt>
                <c:pt idx="225">
                  <c:v>1.0314431149423062</c:v>
                </c:pt>
                <c:pt idx="226">
                  <c:v>1.0315844181977798</c:v>
                </c:pt>
                <c:pt idx="227">
                  <c:v>1.0317257408111895</c:v>
                </c:pt>
                <c:pt idx="228">
                  <c:v>1.0318670827851875</c:v>
                </c:pt>
                <c:pt idx="229">
                  <c:v>1.0320084441224258</c:v>
                </c:pt>
                <c:pt idx="230">
                  <c:v>1.0321498248255572</c:v>
                </c:pt>
                <c:pt idx="231">
                  <c:v>1.0322912248972349</c:v>
                </c:pt>
                <c:pt idx="232">
                  <c:v>1.0324326443401122</c:v>
                </c:pt>
                <c:pt idx="233">
                  <c:v>1.0325740831568428</c:v>
                </c:pt>
                <c:pt idx="234">
                  <c:v>1.032715541350081</c:v>
                </c:pt>
                <c:pt idx="235">
                  <c:v>1.0328570189224813</c:v>
                </c:pt>
                <c:pt idx="236">
                  <c:v>1.0329985158766983</c:v>
                </c:pt>
                <c:pt idx="237">
                  <c:v>1.0331400322153874</c:v>
                </c:pt>
                <c:pt idx="238">
                  <c:v>1.0332815679412042</c:v>
                </c:pt>
                <c:pt idx="239">
                  <c:v>1.0334231230568047</c:v>
                </c:pt>
                <c:pt idx="240">
                  <c:v>1.0335646975648449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CC-4D2C-B225-0A0FCF337658}"/>
            </c:ext>
          </c:extLst>
        </c:ser>
        <c:ser>
          <c:idx val="1"/>
          <c:order val="1"/>
          <c:tx>
            <c:v>Discount factor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'HW2a discount rate vba'!$C$5:$C$1004</c:f>
              <c:numCache>
                <c:formatCode>General</c:formatCode>
                <c:ptCount val="1000"/>
                <c:pt idx="0">
                  <c:v>2.7397260273972603E-3</c:v>
                </c:pt>
                <c:pt idx="1">
                  <c:v>5.4794520547945206E-3</c:v>
                </c:pt>
                <c:pt idx="2">
                  <c:v>8.21917808219178E-3</c:v>
                </c:pt>
                <c:pt idx="3">
                  <c:v>1.0958904109589041E-2</c:v>
                </c:pt>
                <c:pt idx="4">
                  <c:v>1.3698630136986301E-2</c:v>
                </c:pt>
                <c:pt idx="5">
                  <c:v>1.643835616438356E-2</c:v>
                </c:pt>
                <c:pt idx="6">
                  <c:v>1.9178082191780823E-2</c:v>
                </c:pt>
                <c:pt idx="7">
                  <c:v>2.1917808219178082E-2</c:v>
                </c:pt>
                <c:pt idx="8">
                  <c:v>2.4657534246575342E-2</c:v>
                </c:pt>
                <c:pt idx="9">
                  <c:v>2.7397260273972601E-2</c:v>
                </c:pt>
                <c:pt idx="10">
                  <c:v>3.0136986301369864E-2</c:v>
                </c:pt>
                <c:pt idx="11">
                  <c:v>3.287671232876712E-2</c:v>
                </c:pt>
                <c:pt idx="12">
                  <c:v>3.5616438356164383E-2</c:v>
                </c:pt>
                <c:pt idx="13">
                  <c:v>3.8356164383561646E-2</c:v>
                </c:pt>
                <c:pt idx="14">
                  <c:v>4.1095890410958902E-2</c:v>
                </c:pt>
                <c:pt idx="15">
                  <c:v>4.3835616438356165E-2</c:v>
                </c:pt>
                <c:pt idx="16">
                  <c:v>4.6575342465753428E-2</c:v>
                </c:pt>
                <c:pt idx="17">
                  <c:v>4.9315068493150684E-2</c:v>
                </c:pt>
                <c:pt idx="18">
                  <c:v>5.2054794520547946E-2</c:v>
                </c:pt>
                <c:pt idx="19">
                  <c:v>5.4794520547945202E-2</c:v>
                </c:pt>
                <c:pt idx="20">
                  <c:v>5.7534246575342465E-2</c:v>
                </c:pt>
                <c:pt idx="21">
                  <c:v>6.0273972602739728E-2</c:v>
                </c:pt>
                <c:pt idx="22">
                  <c:v>6.3013698630136991E-2</c:v>
                </c:pt>
                <c:pt idx="23">
                  <c:v>6.575342465753424E-2</c:v>
                </c:pt>
                <c:pt idx="24">
                  <c:v>6.8493150684931503E-2</c:v>
                </c:pt>
                <c:pt idx="25">
                  <c:v>7.1232876712328766E-2</c:v>
                </c:pt>
                <c:pt idx="26">
                  <c:v>7.3972602739726029E-2</c:v>
                </c:pt>
                <c:pt idx="27">
                  <c:v>7.6712328767123292E-2</c:v>
                </c:pt>
                <c:pt idx="28">
                  <c:v>7.9452054794520555E-2</c:v>
                </c:pt>
                <c:pt idx="29">
                  <c:v>8.2191780821917804E-2</c:v>
                </c:pt>
                <c:pt idx="30">
                  <c:v>8.4931506849315067E-2</c:v>
                </c:pt>
                <c:pt idx="31">
                  <c:v>8.7671232876712329E-2</c:v>
                </c:pt>
                <c:pt idx="32">
                  <c:v>9.0410958904109592E-2</c:v>
                </c:pt>
                <c:pt idx="33">
                  <c:v>9.3150684931506855E-2</c:v>
                </c:pt>
                <c:pt idx="34">
                  <c:v>9.5890410958904104E-2</c:v>
                </c:pt>
                <c:pt idx="35">
                  <c:v>9.8630136986301367E-2</c:v>
                </c:pt>
                <c:pt idx="36">
                  <c:v>0.10136986301369863</c:v>
                </c:pt>
                <c:pt idx="37">
                  <c:v>0.10410958904109589</c:v>
                </c:pt>
                <c:pt idx="38">
                  <c:v>0.10684931506849316</c:v>
                </c:pt>
                <c:pt idx="39">
                  <c:v>0.1095890410958904</c:v>
                </c:pt>
                <c:pt idx="40">
                  <c:v>0.11232876712328767</c:v>
                </c:pt>
                <c:pt idx="41">
                  <c:v>0.11506849315068493</c:v>
                </c:pt>
                <c:pt idx="42">
                  <c:v>0.11780821917808219</c:v>
                </c:pt>
                <c:pt idx="43">
                  <c:v>0.12054794520547946</c:v>
                </c:pt>
                <c:pt idx="44">
                  <c:v>0.12328767123287671</c:v>
                </c:pt>
                <c:pt idx="45">
                  <c:v>0.12602739726027398</c:v>
                </c:pt>
                <c:pt idx="46">
                  <c:v>0.12876712328767123</c:v>
                </c:pt>
                <c:pt idx="47">
                  <c:v>0.13150684931506848</c:v>
                </c:pt>
                <c:pt idx="48">
                  <c:v>0.13424657534246576</c:v>
                </c:pt>
                <c:pt idx="49">
                  <c:v>0.13698630136986301</c:v>
                </c:pt>
                <c:pt idx="50">
                  <c:v>0.13972602739726028</c:v>
                </c:pt>
                <c:pt idx="51">
                  <c:v>0.14246575342465753</c:v>
                </c:pt>
                <c:pt idx="52">
                  <c:v>0.14520547945205478</c:v>
                </c:pt>
                <c:pt idx="53">
                  <c:v>0.14794520547945206</c:v>
                </c:pt>
                <c:pt idx="54">
                  <c:v>0.15068493150684931</c:v>
                </c:pt>
                <c:pt idx="55">
                  <c:v>0.15342465753424658</c:v>
                </c:pt>
                <c:pt idx="56">
                  <c:v>0.15616438356164383</c:v>
                </c:pt>
                <c:pt idx="57">
                  <c:v>0.15890410958904111</c:v>
                </c:pt>
                <c:pt idx="58">
                  <c:v>0.16164383561643836</c:v>
                </c:pt>
                <c:pt idx="59">
                  <c:v>0.16438356164383561</c:v>
                </c:pt>
                <c:pt idx="60">
                  <c:v>0.16712328767123288</c:v>
                </c:pt>
                <c:pt idx="61">
                  <c:v>0.16986301369863013</c:v>
                </c:pt>
                <c:pt idx="62">
                  <c:v>0.17260273972602741</c:v>
                </c:pt>
                <c:pt idx="63">
                  <c:v>0.17534246575342466</c:v>
                </c:pt>
                <c:pt idx="64">
                  <c:v>0.17808219178082191</c:v>
                </c:pt>
                <c:pt idx="65">
                  <c:v>0.18082191780821918</c:v>
                </c:pt>
                <c:pt idx="66">
                  <c:v>0.18356164383561643</c:v>
                </c:pt>
                <c:pt idx="67">
                  <c:v>0.18630136986301371</c:v>
                </c:pt>
                <c:pt idx="68">
                  <c:v>0.18904109589041096</c:v>
                </c:pt>
                <c:pt idx="69">
                  <c:v>0.19178082191780821</c:v>
                </c:pt>
                <c:pt idx="70">
                  <c:v>0.19452054794520549</c:v>
                </c:pt>
                <c:pt idx="71">
                  <c:v>0.19726027397260273</c:v>
                </c:pt>
                <c:pt idx="72">
                  <c:v>0.2</c:v>
                </c:pt>
                <c:pt idx="73">
                  <c:v>0.20273972602739726</c:v>
                </c:pt>
                <c:pt idx="74">
                  <c:v>0.20547945205479451</c:v>
                </c:pt>
                <c:pt idx="75">
                  <c:v>0.20821917808219179</c:v>
                </c:pt>
                <c:pt idx="76">
                  <c:v>0.21095890410958903</c:v>
                </c:pt>
                <c:pt idx="77">
                  <c:v>0.21369863013698631</c:v>
                </c:pt>
                <c:pt idx="78">
                  <c:v>0.21643835616438356</c:v>
                </c:pt>
                <c:pt idx="79">
                  <c:v>0.21917808219178081</c:v>
                </c:pt>
                <c:pt idx="80">
                  <c:v>0.22191780821917809</c:v>
                </c:pt>
                <c:pt idx="81">
                  <c:v>0.22465753424657534</c:v>
                </c:pt>
                <c:pt idx="82">
                  <c:v>0.22739726027397261</c:v>
                </c:pt>
                <c:pt idx="83">
                  <c:v>0.23013698630136986</c:v>
                </c:pt>
                <c:pt idx="84">
                  <c:v>0.23287671232876711</c:v>
                </c:pt>
                <c:pt idx="85">
                  <c:v>0.23561643835616439</c:v>
                </c:pt>
                <c:pt idx="86">
                  <c:v>0.23835616438356164</c:v>
                </c:pt>
                <c:pt idx="87">
                  <c:v>0.24109589041095891</c:v>
                </c:pt>
                <c:pt idx="88">
                  <c:v>0.24383561643835616</c:v>
                </c:pt>
                <c:pt idx="89">
                  <c:v>0.24657534246575341</c:v>
                </c:pt>
                <c:pt idx="90">
                  <c:v>0.24931506849315069</c:v>
                </c:pt>
                <c:pt idx="91">
                  <c:v>0.25205479452054796</c:v>
                </c:pt>
                <c:pt idx="92">
                  <c:v>0.25479452054794521</c:v>
                </c:pt>
                <c:pt idx="93">
                  <c:v>0.25753424657534246</c:v>
                </c:pt>
                <c:pt idx="94">
                  <c:v>0.26027397260273971</c:v>
                </c:pt>
                <c:pt idx="95">
                  <c:v>0.26301369863013696</c:v>
                </c:pt>
                <c:pt idx="96">
                  <c:v>0.26575342465753427</c:v>
                </c:pt>
                <c:pt idx="97">
                  <c:v>0.26849315068493151</c:v>
                </c:pt>
                <c:pt idx="98">
                  <c:v>0.27123287671232876</c:v>
                </c:pt>
                <c:pt idx="99">
                  <c:v>0.27397260273972601</c:v>
                </c:pt>
                <c:pt idx="100">
                  <c:v>0.27671232876712326</c:v>
                </c:pt>
                <c:pt idx="101">
                  <c:v>0.27945205479452057</c:v>
                </c:pt>
                <c:pt idx="102">
                  <c:v>0.28219178082191781</c:v>
                </c:pt>
                <c:pt idx="103">
                  <c:v>0.28493150684931506</c:v>
                </c:pt>
                <c:pt idx="104">
                  <c:v>0.28767123287671231</c:v>
                </c:pt>
                <c:pt idx="105">
                  <c:v>0.29041095890410956</c:v>
                </c:pt>
                <c:pt idx="106">
                  <c:v>0.29315068493150687</c:v>
                </c:pt>
                <c:pt idx="107">
                  <c:v>0.29589041095890412</c:v>
                </c:pt>
                <c:pt idx="108">
                  <c:v>0.29863013698630136</c:v>
                </c:pt>
                <c:pt idx="109">
                  <c:v>0.30136986301369861</c:v>
                </c:pt>
                <c:pt idx="110">
                  <c:v>0.30410958904109592</c:v>
                </c:pt>
                <c:pt idx="111">
                  <c:v>0.30684931506849317</c:v>
                </c:pt>
                <c:pt idx="112">
                  <c:v>0.30958904109589042</c:v>
                </c:pt>
                <c:pt idx="113">
                  <c:v>0.31232876712328766</c:v>
                </c:pt>
                <c:pt idx="114">
                  <c:v>0.31506849315068491</c:v>
                </c:pt>
                <c:pt idx="115">
                  <c:v>0.31780821917808222</c:v>
                </c:pt>
                <c:pt idx="116">
                  <c:v>0.32054794520547947</c:v>
                </c:pt>
                <c:pt idx="117">
                  <c:v>0.32328767123287672</c:v>
                </c:pt>
                <c:pt idx="118">
                  <c:v>0.32602739726027397</c:v>
                </c:pt>
                <c:pt idx="119">
                  <c:v>0.32876712328767121</c:v>
                </c:pt>
                <c:pt idx="120">
                  <c:v>0.33150684931506852</c:v>
                </c:pt>
                <c:pt idx="121">
                  <c:v>0.33424657534246577</c:v>
                </c:pt>
                <c:pt idx="122">
                  <c:v>0.33698630136986302</c:v>
                </c:pt>
                <c:pt idx="123">
                  <c:v>0.33972602739726027</c:v>
                </c:pt>
                <c:pt idx="124">
                  <c:v>0.34246575342465752</c:v>
                </c:pt>
                <c:pt idx="125">
                  <c:v>0.34520547945205482</c:v>
                </c:pt>
                <c:pt idx="126">
                  <c:v>0.34794520547945207</c:v>
                </c:pt>
                <c:pt idx="127">
                  <c:v>0.35068493150684932</c:v>
                </c:pt>
                <c:pt idx="128">
                  <c:v>0.35342465753424657</c:v>
                </c:pt>
                <c:pt idx="129">
                  <c:v>0.35616438356164382</c:v>
                </c:pt>
                <c:pt idx="130">
                  <c:v>0.35890410958904112</c:v>
                </c:pt>
                <c:pt idx="131">
                  <c:v>0.36164383561643837</c:v>
                </c:pt>
                <c:pt idx="132">
                  <c:v>0.36438356164383562</c:v>
                </c:pt>
                <c:pt idx="133">
                  <c:v>0.36712328767123287</c:v>
                </c:pt>
                <c:pt idx="134">
                  <c:v>0.36986301369863012</c:v>
                </c:pt>
                <c:pt idx="135">
                  <c:v>0.37260273972602742</c:v>
                </c:pt>
                <c:pt idx="136">
                  <c:v>0.37534246575342467</c:v>
                </c:pt>
                <c:pt idx="137">
                  <c:v>0.37808219178082192</c:v>
                </c:pt>
                <c:pt idx="138">
                  <c:v>0.38082191780821917</c:v>
                </c:pt>
                <c:pt idx="139">
                  <c:v>0.38356164383561642</c:v>
                </c:pt>
                <c:pt idx="140">
                  <c:v>0.38630136986301372</c:v>
                </c:pt>
                <c:pt idx="141">
                  <c:v>0.38904109589041097</c:v>
                </c:pt>
                <c:pt idx="142">
                  <c:v>0.39178082191780822</c:v>
                </c:pt>
                <c:pt idx="143">
                  <c:v>0.39452054794520547</c:v>
                </c:pt>
                <c:pt idx="144">
                  <c:v>0.39726027397260272</c:v>
                </c:pt>
                <c:pt idx="145">
                  <c:v>0.4</c:v>
                </c:pt>
                <c:pt idx="146">
                  <c:v>0.40273972602739727</c:v>
                </c:pt>
                <c:pt idx="147">
                  <c:v>0.40547945205479452</c:v>
                </c:pt>
                <c:pt idx="148">
                  <c:v>0.40821917808219177</c:v>
                </c:pt>
                <c:pt idx="149">
                  <c:v>0.41095890410958902</c:v>
                </c:pt>
                <c:pt idx="150">
                  <c:v>0.41369863013698632</c:v>
                </c:pt>
                <c:pt idx="151">
                  <c:v>0.41643835616438357</c:v>
                </c:pt>
                <c:pt idx="152">
                  <c:v>0.41917808219178082</c:v>
                </c:pt>
                <c:pt idx="153">
                  <c:v>0.42191780821917807</c:v>
                </c:pt>
                <c:pt idx="154">
                  <c:v>0.42465753424657532</c:v>
                </c:pt>
                <c:pt idx="155">
                  <c:v>0.42739726027397262</c:v>
                </c:pt>
                <c:pt idx="156">
                  <c:v>0.43013698630136987</c:v>
                </c:pt>
                <c:pt idx="157">
                  <c:v>0.43287671232876712</c:v>
                </c:pt>
                <c:pt idx="158">
                  <c:v>0.43561643835616437</c:v>
                </c:pt>
                <c:pt idx="159">
                  <c:v>0.43835616438356162</c:v>
                </c:pt>
                <c:pt idx="160">
                  <c:v>0.44109589041095892</c:v>
                </c:pt>
                <c:pt idx="161">
                  <c:v>0.44383561643835617</c:v>
                </c:pt>
                <c:pt idx="162">
                  <c:v>0.44657534246575342</c:v>
                </c:pt>
                <c:pt idx="163">
                  <c:v>0.44931506849315067</c:v>
                </c:pt>
                <c:pt idx="164">
                  <c:v>0.45205479452054792</c:v>
                </c:pt>
                <c:pt idx="165">
                  <c:v>0.45479452054794522</c:v>
                </c:pt>
                <c:pt idx="166">
                  <c:v>0.45753424657534247</c:v>
                </c:pt>
                <c:pt idx="167">
                  <c:v>0.46027397260273972</c:v>
                </c:pt>
                <c:pt idx="168">
                  <c:v>0.46301369863013697</c:v>
                </c:pt>
                <c:pt idx="169">
                  <c:v>0.46575342465753422</c:v>
                </c:pt>
                <c:pt idx="170">
                  <c:v>0.46849315068493153</c:v>
                </c:pt>
                <c:pt idx="171">
                  <c:v>0.47123287671232877</c:v>
                </c:pt>
                <c:pt idx="172">
                  <c:v>0.47397260273972602</c:v>
                </c:pt>
                <c:pt idx="173">
                  <c:v>0.47671232876712327</c:v>
                </c:pt>
                <c:pt idx="174">
                  <c:v>0.47945205479452052</c:v>
                </c:pt>
                <c:pt idx="175">
                  <c:v>0.48219178082191783</c:v>
                </c:pt>
                <c:pt idx="176">
                  <c:v>0.48493150684931507</c:v>
                </c:pt>
                <c:pt idx="177">
                  <c:v>0.48767123287671232</c:v>
                </c:pt>
                <c:pt idx="178">
                  <c:v>0.49041095890410957</c:v>
                </c:pt>
                <c:pt idx="179">
                  <c:v>0.49315068493150682</c:v>
                </c:pt>
                <c:pt idx="180">
                  <c:v>0.49589041095890413</c:v>
                </c:pt>
                <c:pt idx="181">
                  <c:v>0.49863013698630138</c:v>
                </c:pt>
                <c:pt idx="182">
                  <c:v>0.50136986301369868</c:v>
                </c:pt>
                <c:pt idx="183">
                  <c:v>0.50410958904109593</c:v>
                </c:pt>
                <c:pt idx="184">
                  <c:v>0.50684931506849318</c:v>
                </c:pt>
                <c:pt idx="185">
                  <c:v>0.50958904109589043</c:v>
                </c:pt>
                <c:pt idx="186">
                  <c:v>0.51232876712328768</c:v>
                </c:pt>
                <c:pt idx="187">
                  <c:v>0.51506849315068493</c:v>
                </c:pt>
                <c:pt idx="188">
                  <c:v>0.51780821917808217</c:v>
                </c:pt>
                <c:pt idx="189">
                  <c:v>0.52054794520547942</c:v>
                </c:pt>
                <c:pt idx="190">
                  <c:v>0.52328767123287667</c:v>
                </c:pt>
                <c:pt idx="191">
                  <c:v>0.52602739726027392</c:v>
                </c:pt>
                <c:pt idx="192">
                  <c:v>0.52876712328767128</c:v>
                </c:pt>
                <c:pt idx="193">
                  <c:v>0.53150684931506853</c:v>
                </c:pt>
                <c:pt idx="194">
                  <c:v>0.53424657534246578</c:v>
                </c:pt>
                <c:pt idx="195">
                  <c:v>0.53698630136986303</c:v>
                </c:pt>
                <c:pt idx="196">
                  <c:v>0.53972602739726028</c:v>
                </c:pt>
                <c:pt idx="197">
                  <c:v>0.54246575342465753</c:v>
                </c:pt>
                <c:pt idx="198">
                  <c:v>0.54520547945205478</c:v>
                </c:pt>
                <c:pt idx="199">
                  <c:v>0.54794520547945202</c:v>
                </c:pt>
                <c:pt idx="200">
                  <c:v>0.55068493150684927</c:v>
                </c:pt>
                <c:pt idx="201">
                  <c:v>0.55342465753424652</c:v>
                </c:pt>
                <c:pt idx="202">
                  <c:v>0.55616438356164388</c:v>
                </c:pt>
                <c:pt idx="203">
                  <c:v>0.55890410958904113</c:v>
                </c:pt>
                <c:pt idx="204">
                  <c:v>0.56164383561643838</c:v>
                </c:pt>
                <c:pt idx="205">
                  <c:v>0.56438356164383563</c:v>
                </c:pt>
                <c:pt idx="206">
                  <c:v>0.56712328767123288</c:v>
                </c:pt>
                <c:pt idx="207">
                  <c:v>0.56986301369863013</c:v>
                </c:pt>
                <c:pt idx="208">
                  <c:v>0.57260273972602738</c:v>
                </c:pt>
                <c:pt idx="209">
                  <c:v>0.57534246575342463</c:v>
                </c:pt>
                <c:pt idx="210">
                  <c:v>0.57808219178082187</c:v>
                </c:pt>
                <c:pt idx="211">
                  <c:v>0.58082191780821912</c:v>
                </c:pt>
                <c:pt idx="212">
                  <c:v>0.58356164383561648</c:v>
                </c:pt>
                <c:pt idx="213">
                  <c:v>0.58630136986301373</c:v>
                </c:pt>
                <c:pt idx="214">
                  <c:v>0.58904109589041098</c:v>
                </c:pt>
                <c:pt idx="215">
                  <c:v>0.59178082191780823</c:v>
                </c:pt>
                <c:pt idx="216">
                  <c:v>0.59452054794520548</c:v>
                </c:pt>
                <c:pt idx="217">
                  <c:v>0.59726027397260273</c:v>
                </c:pt>
                <c:pt idx="218">
                  <c:v>0.6</c:v>
                </c:pt>
                <c:pt idx="219">
                  <c:v>0.60273972602739723</c:v>
                </c:pt>
                <c:pt idx="220">
                  <c:v>0.60547945205479448</c:v>
                </c:pt>
                <c:pt idx="221">
                  <c:v>0.60821917808219184</c:v>
                </c:pt>
                <c:pt idx="222">
                  <c:v>0.61095890410958908</c:v>
                </c:pt>
                <c:pt idx="223">
                  <c:v>0.61369863013698633</c:v>
                </c:pt>
                <c:pt idx="224">
                  <c:v>0.61643835616438358</c:v>
                </c:pt>
                <c:pt idx="225">
                  <c:v>0.61917808219178083</c:v>
                </c:pt>
                <c:pt idx="226">
                  <c:v>0.62191780821917808</c:v>
                </c:pt>
                <c:pt idx="227">
                  <c:v>0.62465753424657533</c:v>
                </c:pt>
                <c:pt idx="228">
                  <c:v>0.62739726027397258</c:v>
                </c:pt>
                <c:pt idx="229">
                  <c:v>0.63013698630136983</c:v>
                </c:pt>
                <c:pt idx="230">
                  <c:v>0.63287671232876708</c:v>
                </c:pt>
                <c:pt idx="231">
                  <c:v>0.63561643835616444</c:v>
                </c:pt>
                <c:pt idx="232">
                  <c:v>0.63835616438356169</c:v>
                </c:pt>
                <c:pt idx="233">
                  <c:v>0.64109589041095894</c:v>
                </c:pt>
                <c:pt idx="234">
                  <c:v>0.64383561643835618</c:v>
                </c:pt>
                <c:pt idx="235">
                  <c:v>0.64657534246575343</c:v>
                </c:pt>
                <c:pt idx="236">
                  <c:v>0.64931506849315068</c:v>
                </c:pt>
                <c:pt idx="237">
                  <c:v>0.65205479452054793</c:v>
                </c:pt>
                <c:pt idx="238">
                  <c:v>0.65479452054794518</c:v>
                </c:pt>
                <c:pt idx="239">
                  <c:v>0.65753424657534243</c:v>
                </c:pt>
                <c:pt idx="240">
                  <c:v>0.66027397260273968</c:v>
                </c:pt>
              </c:numCache>
            </c:numRef>
          </c:xVal>
          <c:yVal>
            <c:numRef>
              <c:f>'HW2a discount rate vba'!$E$5:$E$1004</c:f>
              <c:numCache>
                <c:formatCode>0.000</c:formatCode>
                <c:ptCount val="1000"/>
                <c:pt idx="0">
                  <c:v>0.99986302308082509</c:v>
                </c:pt>
                <c:pt idx="1">
                  <c:v>0.99972606492432659</c:v>
                </c:pt>
                <c:pt idx="2">
                  <c:v>0.99958912552793444</c:v>
                </c:pt>
                <c:pt idx="3">
                  <c:v>0.99945220488907882</c:v>
                </c:pt>
                <c:pt idx="4">
                  <c:v>0.99931530300519056</c:v>
                </c:pt>
                <c:pt idx="5">
                  <c:v>0.9991784198737006</c:v>
                </c:pt>
                <c:pt idx="6">
                  <c:v>0.99904155549204032</c:v>
                </c:pt>
                <c:pt idx="7">
                  <c:v>0.99890470985764124</c:v>
                </c:pt>
                <c:pt idx="8">
                  <c:v>0.99876788296793573</c:v>
                </c:pt>
                <c:pt idx="9">
                  <c:v>0.99863107482035596</c:v>
                </c:pt>
                <c:pt idx="10">
                  <c:v>0.99849428541233465</c:v>
                </c:pt>
                <c:pt idx="11">
                  <c:v>0.99835751474130519</c:v>
                </c:pt>
                <c:pt idx="12">
                  <c:v>0.99822076280470085</c:v>
                </c:pt>
                <c:pt idx="13">
                  <c:v>0.99808402959995546</c:v>
                </c:pt>
                <c:pt idx="14">
                  <c:v>0.99794731512450319</c:v>
                </c:pt>
                <c:pt idx="15">
                  <c:v>0.99781061937577853</c:v>
                </c:pt>
                <c:pt idx="16">
                  <c:v>0.99767394235121643</c:v>
                </c:pt>
                <c:pt idx="17">
                  <c:v>0.99753728404825204</c:v>
                </c:pt>
                <c:pt idx="18">
                  <c:v>0.99740064446432108</c:v>
                </c:pt>
                <c:pt idx="19">
                  <c:v>0.99726402359685928</c:v>
                </c:pt>
                <c:pt idx="20">
                  <c:v>0.99712742144330302</c:v>
                </c:pt>
                <c:pt idx="21">
                  <c:v>0.9969908380010889</c:v>
                </c:pt>
                <c:pt idx="22">
                  <c:v>0.99685427326765397</c:v>
                </c:pt>
                <c:pt idx="23">
                  <c:v>0.99671772724043539</c:v>
                </c:pt>
                <c:pt idx="24">
                  <c:v>0.996581199916871</c:v>
                </c:pt>
                <c:pt idx="25">
                  <c:v>0.99644469129439872</c:v>
                </c:pt>
                <c:pt idx="26">
                  <c:v>0.99630820137045706</c:v>
                </c:pt>
                <c:pt idx="27">
                  <c:v>0.99617173014248461</c:v>
                </c:pt>
                <c:pt idx="28">
                  <c:v>0.99603527760792065</c:v>
                </c:pt>
                <c:pt idx="29">
                  <c:v>0.99589884376420434</c:v>
                </c:pt>
                <c:pt idx="30">
                  <c:v>0.99576242860877573</c:v>
                </c:pt>
                <c:pt idx="31">
                  <c:v>0.99562603213907475</c:v>
                </c:pt>
                <c:pt idx="32">
                  <c:v>0.995489654352542</c:v>
                </c:pt>
                <c:pt idx="33">
                  <c:v>0.99535329524661831</c:v>
                </c:pt>
                <c:pt idx="34">
                  <c:v>0.99521695481874484</c:v>
                </c:pt>
                <c:pt idx="35">
                  <c:v>0.99508063306636318</c:v>
                </c:pt>
                <c:pt idx="36">
                  <c:v>0.99494432998691518</c:v>
                </c:pt>
                <c:pt idx="37">
                  <c:v>0.99480804557784297</c:v>
                </c:pt>
                <c:pt idx="38">
                  <c:v>0.99467177983658939</c:v>
                </c:pt>
                <c:pt idx="39">
                  <c:v>0.99453553276059714</c:v>
                </c:pt>
                <c:pt idx="40">
                  <c:v>0.99439930434730961</c:v>
                </c:pt>
                <c:pt idx="41">
                  <c:v>0.99426309459417039</c:v>
                </c:pt>
                <c:pt idx="42">
                  <c:v>0.99412690349862365</c:v>
                </c:pt>
                <c:pt idx="43">
                  <c:v>0.99399073105811353</c:v>
                </c:pt>
                <c:pt idx="44">
                  <c:v>0.99385457727008475</c:v>
                </c:pt>
                <c:pt idx="45">
                  <c:v>0.99371844213198246</c:v>
                </c:pt>
                <c:pt idx="46">
                  <c:v>0.99358232564125193</c:v>
                </c:pt>
                <c:pt idx="47">
                  <c:v>0.99344622779533898</c:v>
                </c:pt>
                <c:pt idx="48">
                  <c:v>0.99331014859168965</c:v>
                </c:pt>
                <c:pt idx="49">
                  <c:v>0.99317408802775042</c:v>
                </c:pt>
                <c:pt idx="50">
                  <c:v>0.99303804610096802</c:v>
                </c:pt>
                <c:pt idx="51">
                  <c:v>0.99290202280878959</c:v>
                </c:pt>
                <c:pt idx="52">
                  <c:v>0.99276601814866272</c:v>
                </c:pt>
                <c:pt idx="53">
                  <c:v>0.99263003211803524</c:v>
                </c:pt>
                <c:pt idx="54">
                  <c:v>0.9924940647143552</c:v>
                </c:pt>
                <c:pt idx="55">
                  <c:v>0.99235811593507128</c:v>
                </c:pt>
                <c:pt idx="56">
                  <c:v>0.99222218577763233</c:v>
                </c:pt>
                <c:pt idx="57">
                  <c:v>0.99208627423948748</c:v>
                </c:pt>
                <c:pt idx="58">
                  <c:v>0.99195038131808644</c:v>
                </c:pt>
                <c:pt idx="59">
                  <c:v>0.99181450701087914</c:v>
                </c:pt>
                <c:pt idx="60">
                  <c:v>0.99167865131531585</c:v>
                </c:pt>
                <c:pt idx="61">
                  <c:v>0.99154281422884716</c:v>
                </c:pt>
                <c:pt idx="62">
                  <c:v>0.9914069957489241</c:v>
                </c:pt>
                <c:pt idx="63">
                  <c:v>0.99127119587299795</c:v>
                </c:pt>
                <c:pt idx="64">
                  <c:v>0.99113541459852039</c:v>
                </c:pt>
                <c:pt idx="65">
                  <c:v>0.99099965192294359</c:v>
                </c:pt>
                <c:pt idx="66">
                  <c:v>0.9908639078437198</c:v>
                </c:pt>
                <c:pt idx="67">
                  <c:v>0.99072818235830173</c:v>
                </c:pt>
                <c:pt idx="68">
                  <c:v>0.99059247546414253</c:v>
                </c:pt>
                <c:pt idx="69">
                  <c:v>0.99045678715869567</c:v>
                </c:pt>
                <c:pt idx="70">
                  <c:v>0.99032111743941476</c:v>
                </c:pt>
                <c:pt idx="71">
                  <c:v>0.99018546630375415</c:v>
                </c:pt>
                <c:pt idx="72">
                  <c:v>0.99004983374916811</c:v>
                </c:pt>
                <c:pt idx="73">
                  <c:v>0.98991421977311145</c:v>
                </c:pt>
                <c:pt idx="74">
                  <c:v>0.98977862437303954</c:v>
                </c:pt>
                <c:pt idx="75">
                  <c:v>0.98964304754640775</c:v>
                </c:pt>
                <c:pt idx="76">
                  <c:v>0.989507489290672</c:v>
                </c:pt>
                <c:pt idx="77">
                  <c:v>0.98937194960328845</c:v>
                </c:pt>
                <c:pt idx="78">
                  <c:v>0.98923642848171378</c:v>
                </c:pt>
                <c:pt idx="79">
                  <c:v>0.98910092592340471</c:v>
                </c:pt>
                <c:pt idx="80">
                  <c:v>0.9889654419258187</c:v>
                </c:pt>
                <c:pt idx="81">
                  <c:v>0.98882997648641324</c:v>
                </c:pt>
                <c:pt idx="82">
                  <c:v>0.98869452960264637</c:v>
                </c:pt>
                <c:pt idx="83">
                  <c:v>0.98855910127197633</c:v>
                </c:pt>
                <c:pt idx="84">
                  <c:v>0.98842369149186182</c:v>
                </c:pt>
                <c:pt idx="85">
                  <c:v>0.98828830025976178</c:v>
                </c:pt>
                <c:pt idx="86">
                  <c:v>0.98815292757313555</c:v>
                </c:pt>
                <c:pt idx="87">
                  <c:v>0.98801757342944296</c:v>
                </c:pt>
                <c:pt idx="88">
                  <c:v>0.98788223782614393</c:v>
                </c:pt>
                <c:pt idx="89">
                  <c:v>0.98774692076069892</c:v>
                </c:pt>
                <c:pt idx="90">
                  <c:v>0.98761162223056864</c:v>
                </c:pt>
                <c:pt idx="91">
                  <c:v>0.98747634223321412</c:v>
                </c:pt>
                <c:pt idx="92">
                  <c:v>0.98734108076609695</c:v>
                </c:pt>
                <c:pt idx="93">
                  <c:v>0.98720583782667881</c:v>
                </c:pt>
                <c:pt idx="94">
                  <c:v>0.98707061341242186</c:v>
                </c:pt>
                <c:pt idx="95">
                  <c:v>0.98693540752078845</c:v>
                </c:pt>
                <c:pt idx="96">
                  <c:v>0.98680022014924174</c:v>
                </c:pt>
                <c:pt idx="97">
                  <c:v>0.98666505129524451</c:v>
                </c:pt>
                <c:pt idx="98">
                  <c:v>0.98652990095626059</c:v>
                </c:pt>
                <c:pt idx="99">
                  <c:v>0.98639476912975366</c:v>
                </c:pt>
                <c:pt idx="100">
                  <c:v>0.98625965581318809</c:v>
                </c:pt>
                <c:pt idx="101">
                  <c:v>0.98612456100402823</c:v>
                </c:pt>
                <c:pt idx="102">
                  <c:v>0.98598948469973924</c:v>
                </c:pt>
                <c:pt idx="103">
                  <c:v>0.98585442689778624</c:v>
                </c:pt>
                <c:pt idx="104">
                  <c:v>0.98571938759563482</c:v>
                </c:pt>
                <c:pt idx="105">
                  <c:v>0.98558436679075101</c:v>
                </c:pt>
                <c:pt idx="106">
                  <c:v>0.98544936448060105</c:v>
                </c:pt>
                <c:pt idx="107">
                  <c:v>0.98531438066265165</c:v>
                </c:pt>
                <c:pt idx="108">
                  <c:v>0.9851794153343697</c:v>
                </c:pt>
                <c:pt idx="109">
                  <c:v>0.98504446849322269</c:v>
                </c:pt>
                <c:pt idx="110">
                  <c:v>0.9849095401366782</c:v>
                </c:pt>
                <c:pt idx="111">
                  <c:v>0.98477463026220435</c:v>
                </c:pt>
                <c:pt idx="112">
                  <c:v>0.98463973886726941</c:v>
                </c:pt>
                <c:pt idx="113">
                  <c:v>0.98450486594934228</c:v>
                </c:pt>
                <c:pt idx="114">
                  <c:v>0.98437001150589176</c:v>
                </c:pt>
                <c:pt idx="115">
                  <c:v>0.98423517553438755</c:v>
                </c:pt>
                <c:pt idx="116">
                  <c:v>0.98410035803229934</c:v>
                </c:pt>
                <c:pt idx="117">
                  <c:v>0.98396555899709714</c:v>
                </c:pt>
                <c:pt idx="118">
                  <c:v>0.98383077842625144</c:v>
                </c:pt>
                <c:pt idx="119">
                  <c:v>0.98369601631723325</c:v>
                </c:pt>
                <c:pt idx="120">
                  <c:v>0.98356127266751348</c:v>
                </c:pt>
                <c:pt idx="121">
                  <c:v>0.98342654747456371</c:v>
                </c:pt>
                <c:pt idx="122">
                  <c:v>0.98329184073585585</c:v>
                </c:pt>
                <c:pt idx="123">
                  <c:v>0.98315715244886204</c:v>
                </c:pt>
                <c:pt idx="124">
                  <c:v>0.98302248261105485</c:v>
                </c:pt>
                <c:pt idx="125">
                  <c:v>0.98288783121990708</c:v>
                </c:pt>
                <c:pt idx="126">
                  <c:v>0.98275319827289209</c:v>
                </c:pt>
                <c:pt idx="127">
                  <c:v>0.98261858376748346</c:v>
                </c:pt>
                <c:pt idx="128">
                  <c:v>0.98248398770115497</c:v>
                </c:pt>
                <c:pt idx="129">
                  <c:v>0.98234941007138099</c:v>
                </c:pt>
                <c:pt idx="130">
                  <c:v>0.98221485087563609</c:v>
                </c:pt>
                <c:pt idx="131">
                  <c:v>0.9820803101113954</c:v>
                </c:pt>
                <c:pt idx="132">
                  <c:v>0.98194578777613395</c:v>
                </c:pt>
                <c:pt idx="133">
                  <c:v>0.98181128386732763</c:v>
                </c:pt>
                <c:pt idx="134">
                  <c:v>0.98167679838245236</c:v>
                </c:pt>
                <c:pt idx="135">
                  <c:v>0.98154233131898438</c:v>
                </c:pt>
                <c:pt idx="136">
                  <c:v>0.9814078826744006</c:v>
                </c:pt>
                <c:pt idx="137">
                  <c:v>0.98127345244617792</c:v>
                </c:pt>
                <c:pt idx="138">
                  <c:v>0.98113904063179369</c:v>
                </c:pt>
                <c:pt idx="139">
                  <c:v>0.98100464722872571</c:v>
                </c:pt>
                <c:pt idx="140">
                  <c:v>0.98087027223445211</c:v>
                </c:pt>
                <c:pt idx="141">
                  <c:v>0.98073591564645124</c:v>
                </c:pt>
                <c:pt idx="142">
                  <c:v>0.98060157746220178</c:v>
                </c:pt>
                <c:pt idx="143">
                  <c:v>0.98046725767918297</c:v>
                </c:pt>
                <c:pt idx="144">
                  <c:v>0.98033295629487416</c:v>
                </c:pt>
                <c:pt idx="145">
                  <c:v>0.98019867330675525</c:v>
                </c:pt>
                <c:pt idx="146">
                  <c:v>0.98006440871230638</c:v>
                </c:pt>
                <c:pt idx="147">
                  <c:v>0.979930162509008</c:v>
                </c:pt>
                <c:pt idx="148">
                  <c:v>0.97979593469434101</c:v>
                </c:pt>
                <c:pt idx="149">
                  <c:v>0.97966172526578643</c:v>
                </c:pt>
                <c:pt idx="150">
                  <c:v>0.97952753422082606</c:v>
                </c:pt>
                <c:pt idx="151">
                  <c:v>0.97939336155694146</c:v>
                </c:pt>
                <c:pt idx="152">
                  <c:v>0.97925920727161508</c:v>
                </c:pt>
                <c:pt idx="153">
                  <c:v>0.97912507136232929</c:v>
                </c:pt>
                <c:pt idx="154">
                  <c:v>0.9789909538265672</c:v>
                </c:pt>
                <c:pt idx="155">
                  <c:v>0.97885685466181194</c:v>
                </c:pt>
                <c:pt idx="156">
                  <c:v>0.97872277386554718</c:v>
                </c:pt>
                <c:pt idx="157">
                  <c:v>0.97858871143525672</c:v>
                </c:pt>
                <c:pt idx="158">
                  <c:v>0.97845466736842501</c:v>
                </c:pt>
                <c:pt idx="159">
                  <c:v>0.97832064166253663</c:v>
                </c:pt>
                <c:pt idx="160">
                  <c:v>0.97818663431507646</c:v>
                </c:pt>
                <c:pt idx="161">
                  <c:v>0.97805264532352987</c:v>
                </c:pt>
                <c:pt idx="162">
                  <c:v>0.97791867468538263</c:v>
                </c:pt>
                <c:pt idx="163">
                  <c:v>0.97778472239812064</c:v>
                </c:pt>
                <c:pt idx="164">
                  <c:v>0.97765078845923026</c:v>
                </c:pt>
                <c:pt idx="165">
                  <c:v>0.97751687286619815</c:v>
                </c:pt>
                <c:pt idx="166">
                  <c:v>0.97738297561651144</c:v>
                </c:pt>
                <c:pt idx="167">
                  <c:v>0.97724909670765758</c:v>
                </c:pt>
                <c:pt idx="168">
                  <c:v>0.97711523613712403</c:v>
                </c:pt>
                <c:pt idx="169">
                  <c:v>0.97698139390239913</c:v>
                </c:pt>
                <c:pt idx="170">
                  <c:v>0.97684757000097122</c:v>
                </c:pt>
                <c:pt idx="171">
                  <c:v>0.97671376443032898</c:v>
                </c:pt>
                <c:pt idx="172">
                  <c:v>0.97657997718796163</c:v>
                </c:pt>
                <c:pt idx="173">
                  <c:v>0.97644620827135853</c:v>
                </c:pt>
                <c:pt idx="174">
                  <c:v>0.97631245767800945</c:v>
                </c:pt>
                <c:pt idx="175">
                  <c:v>0.97617872540540473</c:v>
                </c:pt>
                <c:pt idx="176">
                  <c:v>0.97604501145103462</c:v>
                </c:pt>
                <c:pt idx="177">
                  <c:v>0.97591131581238999</c:v>
                </c:pt>
                <c:pt idx="178">
                  <c:v>0.97577763848696208</c:v>
                </c:pt>
                <c:pt idx="179">
                  <c:v>0.97564397947224235</c:v>
                </c:pt>
                <c:pt idx="180">
                  <c:v>0.9755103387657228</c:v>
                </c:pt>
                <c:pt idx="181">
                  <c:v>0.97537671636489531</c:v>
                </c:pt>
                <c:pt idx="182">
                  <c:v>0.9752431122672528</c:v>
                </c:pt>
                <c:pt idx="183">
                  <c:v>0.97510952647028781</c:v>
                </c:pt>
                <c:pt idx="184">
                  <c:v>0.97497595897149392</c:v>
                </c:pt>
                <c:pt idx="185">
                  <c:v>0.97484240976836434</c:v>
                </c:pt>
                <c:pt idx="186">
                  <c:v>0.9747088788583933</c:v>
                </c:pt>
                <c:pt idx="187">
                  <c:v>0.97457536623907481</c:v>
                </c:pt>
                <c:pt idx="188">
                  <c:v>0.97444187190790366</c:v>
                </c:pt>
                <c:pt idx="189">
                  <c:v>0.97430839586237472</c:v>
                </c:pt>
                <c:pt idx="190">
                  <c:v>0.97417493809998323</c:v>
                </c:pt>
                <c:pt idx="191">
                  <c:v>0.97404149861822487</c:v>
                </c:pt>
                <c:pt idx="192">
                  <c:v>0.97390807741459562</c:v>
                </c:pt>
                <c:pt idx="193">
                  <c:v>0.97377467448659183</c:v>
                </c:pt>
                <c:pt idx="194">
                  <c:v>0.97364128983171017</c:v>
                </c:pt>
                <c:pt idx="195">
                  <c:v>0.97350792344744752</c:v>
                </c:pt>
                <c:pt idx="196">
                  <c:v>0.97337457533130134</c:v>
                </c:pt>
                <c:pt idx="197">
                  <c:v>0.97324124548076929</c:v>
                </c:pt>
                <c:pt idx="198">
                  <c:v>0.97310793389334937</c:v>
                </c:pt>
                <c:pt idx="199">
                  <c:v>0.97297464056654004</c:v>
                </c:pt>
                <c:pt idx="200">
                  <c:v>0.97284136549783995</c:v>
                </c:pt>
                <c:pt idx="201">
                  <c:v>0.97270810868474811</c:v>
                </c:pt>
                <c:pt idx="202">
                  <c:v>0.97257487012476407</c:v>
                </c:pt>
                <c:pt idx="203">
                  <c:v>0.97244164981538739</c:v>
                </c:pt>
                <c:pt idx="204">
                  <c:v>0.9723084477541184</c:v>
                </c:pt>
                <c:pt idx="205">
                  <c:v>0.97217526393845732</c:v>
                </c:pt>
                <c:pt idx="206">
                  <c:v>0.97204209836590494</c:v>
                </c:pt>
                <c:pt idx="207">
                  <c:v>0.97190895103396246</c:v>
                </c:pt>
                <c:pt idx="208">
                  <c:v>0.97177582194013135</c:v>
                </c:pt>
                <c:pt idx="209">
                  <c:v>0.97164271108191336</c:v>
                </c:pt>
                <c:pt idx="210">
                  <c:v>0.97150961845681061</c:v>
                </c:pt>
                <c:pt idx="211">
                  <c:v>0.97137654406232565</c:v>
                </c:pt>
                <c:pt idx="212">
                  <c:v>0.97124348789596116</c:v>
                </c:pt>
                <c:pt idx="213">
                  <c:v>0.97111044995522056</c:v>
                </c:pt>
                <c:pt idx="214">
                  <c:v>0.97097743023760708</c:v>
                </c:pt>
                <c:pt idx="215">
                  <c:v>0.97084442874062482</c:v>
                </c:pt>
                <c:pt idx="216">
                  <c:v>0.97071144546177779</c:v>
                </c:pt>
                <c:pt idx="217">
                  <c:v>0.97057848039857064</c:v>
                </c:pt>
                <c:pt idx="218">
                  <c:v>0.97044553354850815</c:v>
                </c:pt>
                <c:pt idx="219">
                  <c:v>0.97031260490909566</c:v>
                </c:pt>
                <c:pt idx="220">
                  <c:v>0.97017969447783869</c:v>
                </c:pt>
                <c:pt idx="221">
                  <c:v>0.97004680225224305</c:v>
                </c:pt>
                <c:pt idx="222">
                  <c:v>0.96991392822981504</c:v>
                </c:pt>
                <c:pt idx="223">
                  <c:v>0.96978107240806133</c:v>
                </c:pt>
                <c:pt idx="224">
                  <c:v>0.96964823478448869</c:v>
                </c:pt>
                <c:pt idx="225">
                  <c:v>0.96951541535660457</c:v>
                </c:pt>
                <c:pt idx="226">
                  <c:v>0.9693826141219164</c:v>
                </c:pt>
                <c:pt idx="227">
                  <c:v>0.96924983107793228</c:v>
                </c:pt>
                <c:pt idx="228">
                  <c:v>0.96911706622216043</c:v>
                </c:pt>
                <c:pt idx="229">
                  <c:v>0.96898431955210951</c:v>
                </c:pt>
                <c:pt idx="230">
                  <c:v>0.96885159106528851</c:v>
                </c:pt>
                <c:pt idx="231">
                  <c:v>0.96871888075920665</c:v>
                </c:pt>
                <c:pt idx="232">
                  <c:v>0.9685861886313738</c:v>
                </c:pt>
                <c:pt idx="233">
                  <c:v>0.96845351467929963</c:v>
                </c:pt>
                <c:pt idx="234">
                  <c:v>0.9683208589004948</c:v>
                </c:pt>
                <c:pt idx="235">
                  <c:v>0.96818822129246984</c:v>
                </c:pt>
                <c:pt idx="236">
                  <c:v>0.96805560185273576</c:v>
                </c:pt>
                <c:pt idx="237">
                  <c:v>0.96792300057880398</c:v>
                </c:pt>
                <c:pt idx="238">
                  <c:v>0.96779041746818617</c:v>
                </c:pt>
                <c:pt idx="239">
                  <c:v>0.96765785251839442</c:v>
                </c:pt>
                <c:pt idx="240">
                  <c:v>0.96752530572694107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CC-4D2C-B225-0A0FCF337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3489568"/>
        <c:axId val="783489960"/>
      </c:scatterChart>
      <c:valAx>
        <c:axId val="783489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489960"/>
        <c:crosses val="autoZero"/>
        <c:crossBetween val="midCat"/>
      </c:valAx>
      <c:valAx>
        <c:axId val="783489960"/>
        <c:scaling>
          <c:orientation val="minMax"/>
          <c:min val="0.95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489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Continuous compounding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288691798379753"/>
          <c:y val="0.10749708917153554"/>
          <c:w val="0.48480862258106644"/>
          <c:h val="0.77889547809473225"/>
        </c:manualLayout>
      </c:layout>
      <c:scatterChart>
        <c:scatterStyle val="lineMarker"/>
        <c:varyColors val="0"/>
        <c:ser>
          <c:idx val="0"/>
          <c:order val="0"/>
          <c:tx>
            <c:v>Compound factor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'discount rate vba soln'!$C$8:$C$1007</c:f>
              <c:numCache>
                <c:formatCode>General</c:formatCode>
                <c:ptCount val="1000"/>
                <c:pt idx="0">
                  <c:v>2.7397260273972603E-3</c:v>
                </c:pt>
                <c:pt idx="1">
                  <c:v>5.4794520547945206E-3</c:v>
                </c:pt>
                <c:pt idx="2">
                  <c:v>8.21917808219178E-3</c:v>
                </c:pt>
                <c:pt idx="3">
                  <c:v>1.0958904109589041E-2</c:v>
                </c:pt>
                <c:pt idx="4">
                  <c:v>1.3698630136986301E-2</c:v>
                </c:pt>
                <c:pt idx="5">
                  <c:v>1.643835616438356E-2</c:v>
                </c:pt>
                <c:pt idx="6">
                  <c:v>1.9178082191780823E-2</c:v>
                </c:pt>
                <c:pt idx="7">
                  <c:v>2.1917808219178082E-2</c:v>
                </c:pt>
                <c:pt idx="8">
                  <c:v>2.4657534246575342E-2</c:v>
                </c:pt>
                <c:pt idx="9">
                  <c:v>2.7397260273972601E-2</c:v>
                </c:pt>
                <c:pt idx="10">
                  <c:v>3.0136986301369864E-2</c:v>
                </c:pt>
                <c:pt idx="11">
                  <c:v>3.287671232876712E-2</c:v>
                </c:pt>
                <c:pt idx="12">
                  <c:v>3.5616438356164383E-2</c:v>
                </c:pt>
                <c:pt idx="13">
                  <c:v>3.8356164383561646E-2</c:v>
                </c:pt>
                <c:pt idx="14">
                  <c:v>4.1095890410958902E-2</c:v>
                </c:pt>
                <c:pt idx="15">
                  <c:v>4.3835616438356165E-2</c:v>
                </c:pt>
                <c:pt idx="16">
                  <c:v>4.6575342465753428E-2</c:v>
                </c:pt>
                <c:pt idx="17">
                  <c:v>4.9315068493150684E-2</c:v>
                </c:pt>
                <c:pt idx="18">
                  <c:v>5.2054794520547946E-2</c:v>
                </c:pt>
                <c:pt idx="19">
                  <c:v>5.4794520547945202E-2</c:v>
                </c:pt>
                <c:pt idx="20">
                  <c:v>5.7534246575342465E-2</c:v>
                </c:pt>
                <c:pt idx="21">
                  <c:v>6.0273972602739728E-2</c:v>
                </c:pt>
                <c:pt idx="22">
                  <c:v>6.3013698630136991E-2</c:v>
                </c:pt>
                <c:pt idx="23">
                  <c:v>6.575342465753424E-2</c:v>
                </c:pt>
                <c:pt idx="24">
                  <c:v>6.8493150684931503E-2</c:v>
                </c:pt>
                <c:pt idx="25">
                  <c:v>7.1232876712328766E-2</c:v>
                </c:pt>
                <c:pt idx="26">
                  <c:v>7.3972602739726029E-2</c:v>
                </c:pt>
                <c:pt idx="27">
                  <c:v>7.6712328767123292E-2</c:v>
                </c:pt>
                <c:pt idx="28">
                  <c:v>7.9452054794520555E-2</c:v>
                </c:pt>
                <c:pt idx="29">
                  <c:v>8.2191780821917804E-2</c:v>
                </c:pt>
                <c:pt idx="30">
                  <c:v>8.4931506849315067E-2</c:v>
                </c:pt>
                <c:pt idx="31">
                  <c:v>8.7671232876712329E-2</c:v>
                </c:pt>
                <c:pt idx="32">
                  <c:v>9.0410958904109592E-2</c:v>
                </c:pt>
                <c:pt idx="33">
                  <c:v>9.3150684931506855E-2</c:v>
                </c:pt>
                <c:pt idx="34">
                  <c:v>9.5890410958904104E-2</c:v>
                </c:pt>
                <c:pt idx="35">
                  <c:v>9.8630136986301367E-2</c:v>
                </c:pt>
                <c:pt idx="36">
                  <c:v>0.10136986301369863</c:v>
                </c:pt>
                <c:pt idx="37">
                  <c:v>0.10410958904109589</c:v>
                </c:pt>
                <c:pt idx="38">
                  <c:v>0.10684931506849316</c:v>
                </c:pt>
                <c:pt idx="39">
                  <c:v>0.1095890410958904</c:v>
                </c:pt>
                <c:pt idx="40">
                  <c:v>0.11232876712328767</c:v>
                </c:pt>
                <c:pt idx="41">
                  <c:v>0.11506849315068493</c:v>
                </c:pt>
                <c:pt idx="42">
                  <c:v>0.11780821917808219</c:v>
                </c:pt>
                <c:pt idx="43">
                  <c:v>0.12054794520547946</c:v>
                </c:pt>
                <c:pt idx="44">
                  <c:v>0.12328767123287671</c:v>
                </c:pt>
                <c:pt idx="45">
                  <c:v>0.12602739726027398</c:v>
                </c:pt>
                <c:pt idx="46">
                  <c:v>0.12876712328767123</c:v>
                </c:pt>
                <c:pt idx="47">
                  <c:v>0.13150684931506848</c:v>
                </c:pt>
                <c:pt idx="48">
                  <c:v>0.13424657534246576</c:v>
                </c:pt>
                <c:pt idx="49">
                  <c:v>0.13698630136986301</c:v>
                </c:pt>
                <c:pt idx="50">
                  <c:v>0.13972602739726028</c:v>
                </c:pt>
                <c:pt idx="51">
                  <c:v>0.14246575342465753</c:v>
                </c:pt>
                <c:pt idx="52">
                  <c:v>0.14520547945205478</c:v>
                </c:pt>
                <c:pt idx="53">
                  <c:v>0.14794520547945206</c:v>
                </c:pt>
                <c:pt idx="54">
                  <c:v>0.15068493150684931</c:v>
                </c:pt>
                <c:pt idx="55">
                  <c:v>0.15342465753424658</c:v>
                </c:pt>
                <c:pt idx="56">
                  <c:v>0.15616438356164383</c:v>
                </c:pt>
                <c:pt idx="57">
                  <c:v>0.15890410958904111</c:v>
                </c:pt>
                <c:pt idx="58">
                  <c:v>0.16164383561643836</c:v>
                </c:pt>
                <c:pt idx="59">
                  <c:v>0.16438356164383561</c:v>
                </c:pt>
                <c:pt idx="60">
                  <c:v>0.16712328767123288</c:v>
                </c:pt>
                <c:pt idx="61">
                  <c:v>0.16986301369863013</c:v>
                </c:pt>
                <c:pt idx="62">
                  <c:v>0.17260273972602741</c:v>
                </c:pt>
                <c:pt idx="63">
                  <c:v>0.17534246575342466</c:v>
                </c:pt>
                <c:pt idx="64">
                  <c:v>0.17808219178082191</c:v>
                </c:pt>
                <c:pt idx="65">
                  <c:v>0.18082191780821918</c:v>
                </c:pt>
                <c:pt idx="66">
                  <c:v>0.18356164383561643</c:v>
                </c:pt>
                <c:pt idx="67">
                  <c:v>0.18630136986301371</c:v>
                </c:pt>
                <c:pt idx="68">
                  <c:v>0.18904109589041096</c:v>
                </c:pt>
                <c:pt idx="69">
                  <c:v>0.19178082191780821</c:v>
                </c:pt>
                <c:pt idx="70">
                  <c:v>0.19452054794520549</c:v>
                </c:pt>
                <c:pt idx="71">
                  <c:v>0.19726027397260273</c:v>
                </c:pt>
                <c:pt idx="72">
                  <c:v>0.2</c:v>
                </c:pt>
                <c:pt idx="73">
                  <c:v>0.20273972602739726</c:v>
                </c:pt>
                <c:pt idx="74">
                  <c:v>0.20547945205479451</c:v>
                </c:pt>
                <c:pt idx="75">
                  <c:v>0.20821917808219179</c:v>
                </c:pt>
                <c:pt idx="76">
                  <c:v>0.21095890410958903</c:v>
                </c:pt>
                <c:pt idx="77">
                  <c:v>0.21369863013698631</c:v>
                </c:pt>
                <c:pt idx="78">
                  <c:v>0.21643835616438356</c:v>
                </c:pt>
                <c:pt idx="79">
                  <c:v>0.21917808219178081</c:v>
                </c:pt>
                <c:pt idx="80">
                  <c:v>0.22191780821917809</c:v>
                </c:pt>
                <c:pt idx="81">
                  <c:v>0.22465753424657534</c:v>
                </c:pt>
                <c:pt idx="82">
                  <c:v>0.22739726027397261</c:v>
                </c:pt>
                <c:pt idx="83">
                  <c:v>0.23013698630136986</c:v>
                </c:pt>
                <c:pt idx="84">
                  <c:v>0.23287671232876711</c:v>
                </c:pt>
                <c:pt idx="85">
                  <c:v>0.23561643835616439</c:v>
                </c:pt>
                <c:pt idx="86">
                  <c:v>0.23835616438356164</c:v>
                </c:pt>
                <c:pt idx="87">
                  <c:v>0.24109589041095891</c:v>
                </c:pt>
                <c:pt idx="88">
                  <c:v>0.24383561643835616</c:v>
                </c:pt>
                <c:pt idx="89">
                  <c:v>0.24657534246575341</c:v>
                </c:pt>
                <c:pt idx="90">
                  <c:v>0.24931506849315069</c:v>
                </c:pt>
                <c:pt idx="91">
                  <c:v>0.25205479452054796</c:v>
                </c:pt>
                <c:pt idx="92">
                  <c:v>0.25479452054794521</c:v>
                </c:pt>
                <c:pt idx="93">
                  <c:v>0.25753424657534246</c:v>
                </c:pt>
                <c:pt idx="94">
                  <c:v>0.26027397260273971</c:v>
                </c:pt>
                <c:pt idx="95">
                  <c:v>0.26301369863013696</c:v>
                </c:pt>
                <c:pt idx="96">
                  <c:v>0.26575342465753427</c:v>
                </c:pt>
                <c:pt idx="97">
                  <c:v>0.26849315068493151</c:v>
                </c:pt>
                <c:pt idx="98">
                  <c:v>0.27123287671232876</c:v>
                </c:pt>
                <c:pt idx="99">
                  <c:v>0.27397260273972601</c:v>
                </c:pt>
                <c:pt idx="100">
                  <c:v>0.27671232876712326</c:v>
                </c:pt>
                <c:pt idx="101">
                  <c:v>0.27945205479452057</c:v>
                </c:pt>
                <c:pt idx="102">
                  <c:v>0.28219178082191781</c:v>
                </c:pt>
                <c:pt idx="103">
                  <c:v>0.28493150684931506</c:v>
                </c:pt>
                <c:pt idx="104">
                  <c:v>0.28767123287671231</c:v>
                </c:pt>
                <c:pt idx="105">
                  <c:v>0.29041095890410956</c:v>
                </c:pt>
                <c:pt idx="106">
                  <c:v>0.29315068493150687</c:v>
                </c:pt>
                <c:pt idx="107">
                  <c:v>0.29589041095890412</c:v>
                </c:pt>
                <c:pt idx="108">
                  <c:v>0.29863013698630136</c:v>
                </c:pt>
                <c:pt idx="109">
                  <c:v>0.30136986301369861</c:v>
                </c:pt>
                <c:pt idx="110">
                  <c:v>0.30410958904109592</c:v>
                </c:pt>
                <c:pt idx="111">
                  <c:v>0.30684931506849317</c:v>
                </c:pt>
                <c:pt idx="112">
                  <c:v>0.30958904109589042</c:v>
                </c:pt>
                <c:pt idx="113">
                  <c:v>0.31232876712328766</c:v>
                </c:pt>
                <c:pt idx="114">
                  <c:v>0.31506849315068491</c:v>
                </c:pt>
                <c:pt idx="115">
                  <c:v>0.31780821917808222</c:v>
                </c:pt>
                <c:pt idx="116">
                  <c:v>0.32054794520547947</c:v>
                </c:pt>
                <c:pt idx="117">
                  <c:v>0.32328767123287672</c:v>
                </c:pt>
                <c:pt idx="118">
                  <c:v>0.32602739726027397</c:v>
                </c:pt>
                <c:pt idx="119">
                  <c:v>0.32876712328767121</c:v>
                </c:pt>
                <c:pt idx="120">
                  <c:v>0.33150684931506852</c:v>
                </c:pt>
                <c:pt idx="121">
                  <c:v>0.33424657534246577</c:v>
                </c:pt>
                <c:pt idx="122">
                  <c:v>0.33698630136986302</c:v>
                </c:pt>
                <c:pt idx="123">
                  <c:v>0.33972602739726027</c:v>
                </c:pt>
                <c:pt idx="124">
                  <c:v>0.34246575342465752</c:v>
                </c:pt>
                <c:pt idx="125">
                  <c:v>0.34520547945205482</c:v>
                </c:pt>
                <c:pt idx="126">
                  <c:v>0.34794520547945207</c:v>
                </c:pt>
                <c:pt idx="127">
                  <c:v>0.35068493150684932</c:v>
                </c:pt>
                <c:pt idx="128">
                  <c:v>0.35342465753424657</c:v>
                </c:pt>
                <c:pt idx="129">
                  <c:v>0.35616438356164382</c:v>
                </c:pt>
                <c:pt idx="130">
                  <c:v>0.35890410958904112</c:v>
                </c:pt>
                <c:pt idx="131">
                  <c:v>0.36164383561643837</c:v>
                </c:pt>
                <c:pt idx="132">
                  <c:v>0.36438356164383562</c:v>
                </c:pt>
                <c:pt idx="133">
                  <c:v>0.36712328767123287</c:v>
                </c:pt>
                <c:pt idx="134">
                  <c:v>0.36986301369863012</c:v>
                </c:pt>
                <c:pt idx="135">
                  <c:v>0.37260273972602742</c:v>
                </c:pt>
                <c:pt idx="136">
                  <c:v>0.37534246575342467</c:v>
                </c:pt>
                <c:pt idx="137">
                  <c:v>0.37808219178082192</c:v>
                </c:pt>
                <c:pt idx="138">
                  <c:v>0.38082191780821917</c:v>
                </c:pt>
                <c:pt idx="139">
                  <c:v>0.38356164383561642</c:v>
                </c:pt>
                <c:pt idx="140">
                  <c:v>0.38630136986301372</c:v>
                </c:pt>
                <c:pt idx="141">
                  <c:v>0.38904109589041097</c:v>
                </c:pt>
                <c:pt idx="142">
                  <c:v>0.39178082191780822</c:v>
                </c:pt>
                <c:pt idx="143">
                  <c:v>0.39452054794520547</c:v>
                </c:pt>
                <c:pt idx="144">
                  <c:v>0.39726027397260272</c:v>
                </c:pt>
                <c:pt idx="145">
                  <c:v>0.4</c:v>
                </c:pt>
                <c:pt idx="146">
                  <c:v>0.40273972602739727</c:v>
                </c:pt>
                <c:pt idx="147">
                  <c:v>0.40547945205479452</c:v>
                </c:pt>
                <c:pt idx="148">
                  <c:v>0.40821917808219177</c:v>
                </c:pt>
                <c:pt idx="149">
                  <c:v>0.41095890410958902</c:v>
                </c:pt>
                <c:pt idx="150">
                  <c:v>0.41369863013698632</c:v>
                </c:pt>
                <c:pt idx="151">
                  <c:v>0.41643835616438357</c:v>
                </c:pt>
                <c:pt idx="152">
                  <c:v>0.41917808219178082</c:v>
                </c:pt>
                <c:pt idx="153">
                  <c:v>0.42191780821917807</c:v>
                </c:pt>
                <c:pt idx="154">
                  <c:v>0.42465753424657532</c:v>
                </c:pt>
                <c:pt idx="155">
                  <c:v>0.42739726027397262</c:v>
                </c:pt>
                <c:pt idx="156">
                  <c:v>0.43013698630136987</c:v>
                </c:pt>
                <c:pt idx="157">
                  <c:v>0.43287671232876712</c:v>
                </c:pt>
                <c:pt idx="158">
                  <c:v>0.43561643835616437</c:v>
                </c:pt>
                <c:pt idx="159">
                  <c:v>0.43835616438356162</c:v>
                </c:pt>
                <c:pt idx="160">
                  <c:v>0.44109589041095892</c:v>
                </c:pt>
                <c:pt idx="161">
                  <c:v>0.44383561643835617</c:v>
                </c:pt>
                <c:pt idx="162">
                  <c:v>0.44657534246575342</c:v>
                </c:pt>
                <c:pt idx="163">
                  <c:v>0.44931506849315067</c:v>
                </c:pt>
                <c:pt idx="164">
                  <c:v>0.45205479452054792</c:v>
                </c:pt>
                <c:pt idx="165">
                  <c:v>0.45479452054794522</c:v>
                </c:pt>
                <c:pt idx="166">
                  <c:v>0.45753424657534247</c:v>
                </c:pt>
                <c:pt idx="167">
                  <c:v>0.46027397260273972</c:v>
                </c:pt>
                <c:pt idx="168">
                  <c:v>0.46301369863013697</c:v>
                </c:pt>
                <c:pt idx="169">
                  <c:v>0.46575342465753422</c:v>
                </c:pt>
                <c:pt idx="170">
                  <c:v>0.46849315068493153</c:v>
                </c:pt>
                <c:pt idx="171">
                  <c:v>0.47123287671232877</c:v>
                </c:pt>
                <c:pt idx="172">
                  <c:v>0.47397260273972602</c:v>
                </c:pt>
                <c:pt idx="173">
                  <c:v>0.47671232876712327</c:v>
                </c:pt>
                <c:pt idx="174">
                  <c:v>0.47945205479452052</c:v>
                </c:pt>
                <c:pt idx="175">
                  <c:v>0.48219178082191783</c:v>
                </c:pt>
                <c:pt idx="176">
                  <c:v>0.48493150684931507</c:v>
                </c:pt>
                <c:pt idx="177">
                  <c:v>0.48767123287671232</c:v>
                </c:pt>
                <c:pt idx="178">
                  <c:v>0.49041095890410957</c:v>
                </c:pt>
                <c:pt idx="179">
                  <c:v>0.49315068493150682</c:v>
                </c:pt>
                <c:pt idx="180">
                  <c:v>0.49589041095890413</c:v>
                </c:pt>
                <c:pt idx="181">
                  <c:v>0.49863013698630138</c:v>
                </c:pt>
                <c:pt idx="182">
                  <c:v>0.50136986301369868</c:v>
                </c:pt>
                <c:pt idx="183">
                  <c:v>0.50410958904109593</c:v>
                </c:pt>
                <c:pt idx="184">
                  <c:v>0.50684931506849318</c:v>
                </c:pt>
                <c:pt idx="185">
                  <c:v>0.50958904109589043</c:v>
                </c:pt>
                <c:pt idx="186">
                  <c:v>0.51232876712328768</c:v>
                </c:pt>
                <c:pt idx="187">
                  <c:v>0.51506849315068493</c:v>
                </c:pt>
                <c:pt idx="188">
                  <c:v>0.51780821917808217</c:v>
                </c:pt>
                <c:pt idx="189">
                  <c:v>0.52054794520547942</c:v>
                </c:pt>
                <c:pt idx="190">
                  <c:v>0.52328767123287667</c:v>
                </c:pt>
                <c:pt idx="191">
                  <c:v>0.52602739726027392</c:v>
                </c:pt>
                <c:pt idx="192">
                  <c:v>0.52876712328767128</c:v>
                </c:pt>
                <c:pt idx="193">
                  <c:v>0.53150684931506853</c:v>
                </c:pt>
                <c:pt idx="194">
                  <c:v>0.53424657534246578</c:v>
                </c:pt>
                <c:pt idx="195">
                  <c:v>0.53698630136986303</c:v>
                </c:pt>
                <c:pt idx="196">
                  <c:v>0.53972602739726028</c:v>
                </c:pt>
                <c:pt idx="197">
                  <c:v>0.54246575342465753</c:v>
                </c:pt>
                <c:pt idx="198">
                  <c:v>0.54520547945205478</c:v>
                </c:pt>
                <c:pt idx="199">
                  <c:v>0.54794520547945202</c:v>
                </c:pt>
                <c:pt idx="200">
                  <c:v>0.55068493150684927</c:v>
                </c:pt>
                <c:pt idx="201">
                  <c:v>0.55342465753424652</c:v>
                </c:pt>
                <c:pt idx="202">
                  <c:v>0.55616438356164388</c:v>
                </c:pt>
                <c:pt idx="203">
                  <c:v>0.55890410958904113</c:v>
                </c:pt>
                <c:pt idx="204">
                  <c:v>0.56164383561643838</c:v>
                </c:pt>
                <c:pt idx="205">
                  <c:v>0.56438356164383563</c:v>
                </c:pt>
                <c:pt idx="206">
                  <c:v>0.56712328767123288</c:v>
                </c:pt>
                <c:pt idx="207">
                  <c:v>0.56986301369863013</c:v>
                </c:pt>
                <c:pt idx="208">
                  <c:v>0.57260273972602738</c:v>
                </c:pt>
                <c:pt idx="209">
                  <c:v>0.57534246575342463</c:v>
                </c:pt>
                <c:pt idx="210">
                  <c:v>0.57808219178082187</c:v>
                </c:pt>
                <c:pt idx="211">
                  <c:v>0.58082191780821912</c:v>
                </c:pt>
                <c:pt idx="212">
                  <c:v>0.58356164383561648</c:v>
                </c:pt>
                <c:pt idx="213">
                  <c:v>0.58630136986301373</c:v>
                </c:pt>
                <c:pt idx="214">
                  <c:v>0.58904109589041098</c:v>
                </c:pt>
                <c:pt idx="215">
                  <c:v>0.59178082191780823</c:v>
                </c:pt>
                <c:pt idx="216">
                  <c:v>0.59452054794520548</c:v>
                </c:pt>
                <c:pt idx="217">
                  <c:v>0.59726027397260273</c:v>
                </c:pt>
                <c:pt idx="218">
                  <c:v>0.6</c:v>
                </c:pt>
                <c:pt idx="219">
                  <c:v>0.60273972602739723</c:v>
                </c:pt>
                <c:pt idx="220">
                  <c:v>0.60547945205479448</c:v>
                </c:pt>
                <c:pt idx="221">
                  <c:v>0.60821917808219184</c:v>
                </c:pt>
                <c:pt idx="222">
                  <c:v>0.61095890410958908</c:v>
                </c:pt>
                <c:pt idx="223">
                  <c:v>0.61369863013698633</c:v>
                </c:pt>
                <c:pt idx="224">
                  <c:v>0.61643835616438358</c:v>
                </c:pt>
                <c:pt idx="225">
                  <c:v>0.61917808219178083</c:v>
                </c:pt>
                <c:pt idx="226">
                  <c:v>0.62191780821917808</c:v>
                </c:pt>
                <c:pt idx="227">
                  <c:v>0.62465753424657533</c:v>
                </c:pt>
                <c:pt idx="228">
                  <c:v>0.62739726027397258</c:v>
                </c:pt>
                <c:pt idx="229">
                  <c:v>0.63013698630136983</c:v>
                </c:pt>
                <c:pt idx="230">
                  <c:v>0.63287671232876708</c:v>
                </c:pt>
                <c:pt idx="231">
                  <c:v>0.63561643835616444</c:v>
                </c:pt>
                <c:pt idx="232">
                  <c:v>0.63835616438356169</c:v>
                </c:pt>
                <c:pt idx="233">
                  <c:v>0.64109589041095894</c:v>
                </c:pt>
                <c:pt idx="234">
                  <c:v>0.64383561643835618</c:v>
                </c:pt>
                <c:pt idx="235">
                  <c:v>0.64657534246575343</c:v>
                </c:pt>
                <c:pt idx="236">
                  <c:v>0.64931506849315068</c:v>
                </c:pt>
                <c:pt idx="237">
                  <c:v>0.65205479452054793</c:v>
                </c:pt>
                <c:pt idx="238">
                  <c:v>0.65479452054794518</c:v>
                </c:pt>
                <c:pt idx="239">
                  <c:v>0.65753424657534243</c:v>
                </c:pt>
                <c:pt idx="240">
                  <c:v>0.66027397260273968</c:v>
                </c:pt>
                <c:pt idx="241">
                  <c:v>0.66301369863013704</c:v>
                </c:pt>
                <c:pt idx="242">
                  <c:v>0.66575342465753429</c:v>
                </c:pt>
                <c:pt idx="243">
                  <c:v>0.66849315068493154</c:v>
                </c:pt>
                <c:pt idx="244">
                  <c:v>0.67123287671232879</c:v>
                </c:pt>
                <c:pt idx="245">
                  <c:v>0.67397260273972603</c:v>
                </c:pt>
                <c:pt idx="246">
                  <c:v>0.67671232876712328</c:v>
                </c:pt>
                <c:pt idx="247">
                  <c:v>0.67945205479452053</c:v>
                </c:pt>
                <c:pt idx="248">
                  <c:v>0.68219178082191778</c:v>
                </c:pt>
                <c:pt idx="249">
                  <c:v>0.68493150684931503</c:v>
                </c:pt>
              </c:numCache>
            </c:numRef>
          </c:xVal>
          <c:yVal>
            <c:numRef>
              <c:f>'discount rate vba soln'!$D$8:$D$1007</c:f>
              <c:numCache>
                <c:formatCode>0.000</c:formatCode>
                <c:ptCount val="1000"/>
                <c:pt idx="0">
                  <c:v>1.0001369956844217</c:v>
                </c:pt>
                <c:pt idx="1">
                  <c:v>1.000274010136661</c:v>
                </c:pt>
                <c:pt idx="2">
                  <c:v>1.0004110433592888</c:v>
                </c:pt>
                <c:pt idx="3">
                  <c:v>1.0005480953548769</c:v>
                </c:pt>
                <c:pt idx="4">
                  <c:v>1.0006851661259968</c:v>
                </c:pt>
                <c:pt idx="5">
                  <c:v>1.0008222556752209</c:v>
                </c:pt>
                <c:pt idx="6">
                  <c:v>1.0009593640051215</c:v>
                </c:pt>
                <c:pt idx="7">
                  <c:v>1.0010964911182718</c:v>
                </c:pt>
                <c:pt idx="8">
                  <c:v>1.0012336370172445</c:v>
                </c:pt>
                <c:pt idx="9">
                  <c:v>1.0013708017046139</c:v>
                </c:pt>
                <c:pt idx="10">
                  <c:v>1.0015079851829531</c:v>
                </c:pt>
                <c:pt idx="11">
                  <c:v>1.0016451874548371</c:v>
                </c:pt>
                <c:pt idx="12">
                  <c:v>1.0017824085228402</c:v>
                </c:pt>
                <c:pt idx="13">
                  <c:v>1.0019196483895374</c:v>
                </c:pt>
                <c:pt idx="14">
                  <c:v>1.0020569070575041</c:v>
                </c:pt>
                <c:pt idx="15">
                  <c:v>1.0021941845293159</c:v>
                </c:pt>
                <c:pt idx="16">
                  <c:v>1.002331480807549</c:v>
                </c:pt>
                <c:pt idx="17">
                  <c:v>1.0024687958947796</c:v>
                </c:pt>
                <c:pt idx="18">
                  <c:v>1.0026061297935847</c:v>
                </c:pt>
                <c:pt idx="19">
                  <c:v>1.0027434825065411</c:v>
                </c:pt>
                <c:pt idx="20">
                  <c:v>1.0028808540362264</c:v>
                </c:pt>
                <c:pt idx="21">
                  <c:v>1.0030182443852185</c:v>
                </c:pt>
                <c:pt idx="22">
                  <c:v>1.0031556535560955</c:v>
                </c:pt>
                <c:pt idx="23">
                  <c:v>1.0032930815514358</c:v>
                </c:pt>
                <c:pt idx="24">
                  <c:v>1.0034305283738185</c:v>
                </c:pt>
                <c:pt idx="25">
                  <c:v>1.0035679940258229</c:v>
                </c:pt>
                <c:pt idx="26">
                  <c:v>1.0037054785100281</c:v>
                </c:pt>
                <c:pt idx="27">
                  <c:v>1.0038429818290144</c:v>
                </c:pt>
                <c:pt idx="28">
                  <c:v>1.003980503985362</c:v>
                </c:pt>
                <c:pt idx="29">
                  <c:v>1.0041180449816514</c:v>
                </c:pt>
                <c:pt idx="30">
                  <c:v>1.0042556048204638</c:v>
                </c:pt>
                <c:pt idx="31">
                  <c:v>1.0043931835043804</c:v>
                </c:pt>
                <c:pt idx="32">
                  <c:v>1.0045307810359831</c:v>
                </c:pt>
                <c:pt idx="33">
                  <c:v>1.0046683974178539</c:v>
                </c:pt>
                <c:pt idx="34">
                  <c:v>1.004806032652575</c:v>
                </c:pt>
                <c:pt idx="35">
                  <c:v>1.0049436867427293</c:v>
                </c:pt>
                <c:pt idx="36">
                  <c:v>1.0050813596908998</c:v>
                </c:pt>
                <c:pt idx="37">
                  <c:v>1.0052190514996702</c:v>
                </c:pt>
                <c:pt idx="38">
                  <c:v>1.0053567621716242</c:v>
                </c:pt>
                <c:pt idx="39">
                  <c:v>1.0054944917093458</c:v>
                </c:pt>
                <c:pt idx="40">
                  <c:v>1.0056322401154199</c:v>
                </c:pt>
                <c:pt idx="41">
                  <c:v>1.0057700073924309</c:v>
                </c:pt>
                <c:pt idx="42">
                  <c:v>1.0059077935429643</c:v>
                </c:pt>
                <c:pt idx="43">
                  <c:v>1.006045598569606</c:v>
                </c:pt>
                <c:pt idx="44">
                  <c:v>1.0061834224749413</c:v>
                </c:pt>
                <c:pt idx="45">
                  <c:v>1.0063212652615572</c:v>
                </c:pt>
                <c:pt idx="46">
                  <c:v>1.0064591269320398</c:v>
                </c:pt>
                <c:pt idx="47">
                  <c:v>1.0065970074889763</c:v>
                </c:pt>
                <c:pt idx="48">
                  <c:v>1.006734906934954</c:v>
                </c:pt>
                <c:pt idx="49">
                  <c:v>1.0068728252725607</c:v>
                </c:pt>
                <c:pt idx="50">
                  <c:v>1.0070107625043845</c:v>
                </c:pt>
                <c:pt idx="51">
                  <c:v>1.0071487186330139</c:v>
                </c:pt>
                <c:pt idx="52">
                  <c:v>1.0072866936610374</c:v>
                </c:pt>
                <c:pt idx="53">
                  <c:v>1.0074246875910444</c:v>
                </c:pt>
                <c:pt idx="54">
                  <c:v>1.0075627004256242</c:v>
                </c:pt>
                <c:pt idx="55">
                  <c:v>1.0077007321673668</c:v>
                </c:pt>
                <c:pt idx="56">
                  <c:v>1.0078387828188624</c:v>
                </c:pt>
                <c:pt idx="57">
                  <c:v>1.0079768523827013</c:v>
                </c:pt>
                <c:pt idx="58">
                  <c:v>1.0081149408614747</c:v>
                </c:pt>
                <c:pt idx="59">
                  <c:v>1.0082530482577738</c:v>
                </c:pt>
                <c:pt idx="60">
                  <c:v>1.00839117457419</c:v>
                </c:pt>
                <c:pt idx="61">
                  <c:v>1.0085293198133156</c:v>
                </c:pt>
                <c:pt idx="62">
                  <c:v>1.0086674839777428</c:v>
                </c:pt>
                <c:pt idx="63">
                  <c:v>1.0088056670700642</c:v>
                </c:pt>
                <c:pt idx="64">
                  <c:v>1.0089438690928729</c:v>
                </c:pt>
                <c:pt idx="65">
                  <c:v>1.0090820900487625</c:v>
                </c:pt>
                <c:pt idx="66">
                  <c:v>1.0092203299403264</c:v>
                </c:pt>
                <c:pt idx="67">
                  <c:v>1.0093585887701588</c:v>
                </c:pt>
                <c:pt idx="68">
                  <c:v>1.0094968665408544</c:v>
                </c:pt>
                <c:pt idx="69">
                  <c:v>1.0096351632550076</c:v>
                </c:pt>
                <c:pt idx="70">
                  <c:v>1.009773478915214</c:v>
                </c:pt>
                <c:pt idx="71">
                  <c:v>1.0099118135240688</c:v>
                </c:pt>
                <c:pt idx="72">
                  <c:v>1.0100501670841679</c:v>
                </c:pt>
                <c:pt idx="73">
                  <c:v>1.0101885395981081</c:v>
                </c:pt>
                <c:pt idx="74">
                  <c:v>1.0103269310684853</c:v>
                </c:pt>
                <c:pt idx="75">
                  <c:v>1.0104653414978966</c:v>
                </c:pt>
                <c:pt idx="76">
                  <c:v>1.0106037708889395</c:v>
                </c:pt>
                <c:pt idx="77">
                  <c:v>1.0107422192442115</c:v>
                </c:pt>
                <c:pt idx="78">
                  <c:v>1.0108806865663109</c:v>
                </c:pt>
                <c:pt idx="79">
                  <c:v>1.0110191728578357</c:v>
                </c:pt>
                <c:pt idx="80">
                  <c:v>1.0111576781213847</c:v>
                </c:pt>
                <c:pt idx="81">
                  <c:v>1.0112962023595573</c:v>
                </c:pt>
                <c:pt idx="82">
                  <c:v>1.0114347455749526</c:v>
                </c:pt>
                <c:pt idx="83">
                  <c:v>1.0115733077701705</c:v>
                </c:pt>
                <c:pt idx="84">
                  <c:v>1.0117118889478112</c:v>
                </c:pt>
                <c:pt idx="85">
                  <c:v>1.0118504891104751</c:v>
                </c:pt>
                <c:pt idx="86">
                  <c:v>1.0119891082607633</c:v>
                </c:pt>
                <c:pt idx="87">
                  <c:v>1.0121277464012768</c:v>
                </c:pt>
                <c:pt idx="88">
                  <c:v>1.0122664035346172</c:v>
                </c:pt>
                <c:pt idx="89">
                  <c:v>1.0124050796633863</c:v>
                </c:pt>
                <c:pt idx="90">
                  <c:v>1.0125437747901869</c:v>
                </c:pt>
                <c:pt idx="91">
                  <c:v>1.0126824889176211</c:v>
                </c:pt>
                <c:pt idx="92">
                  <c:v>1.0128212220482924</c:v>
                </c:pt>
                <c:pt idx="93">
                  <c:v>1.0129599741848037</c:v>
                </c:pt>
                <c:pt idx="94">
                  <c:v>1.0130987453297589</c:v>
                </c:pt>
                <c:pt idx="95">
                  <c:v>1.0132375354857621</c:v>
                </c:pt>
                <c:pt idx="96">
                  <c:v>1.0133763446554176</c:v>
                </c:pt>
                <c:pt idx="97">
                  <c:v>1.0135151728413305</c:v>
                </c:pt>
                <c:pt idx="98">
                  <c:v>1.0136540200461057</c:v>
                </c:pt>
                <c:pt idx="99">
                  <c:v>1.0137928862723486</c:v>
                </c:pt>
                <c:pt idx="100">
                  <c:v>1.0139317715226654</c:v>
                </c:pt>
                <c:pt idx="101">
                  <c:v>1.014070675799662</c:v>
                </c:pt>
                <c:pt idx="102">
                  <c:v>1.0142095991059452</c:v>
                </c:pt>
                <c:pt idx="103">
                  <c:v>1.0143485414441218</c:v>
                </c:pt>
                <c:pt idx="104">
                  <c:v>1.014487502816799</c:v>
                </c:pt>
                <c:pt idx="105">
                  <c:v>1.0146264832265848</c:v>
                </c:pt>
                <c:pt idx="106">
                  <c:v>1.0147654826760866</c:v>
                </c:pt>
                <c:pt idx="107">
                  <c:v>1.0149045011679134</c:v>
                </c:pt>
                <c:pt idx="108">
                  <c:v>1.0150435387046735</c:v>
                </c:pt>
                <c:pt idx="109">
                  <c:v>1.0151825952889761</c:v>
                </c:pt>
                <c:pt idx="110">
                  <c:v>1.0153216709234307</c:v>
                </c:pt>
                <c:pt idx="111">
                  <c:v>1.0154607656106471</c:v>
                </c:pt>
                <c:pt idx="112">
                  <c:v>1.0155998793532353</c:v>
                </c:pt>
                <c:pt idx="113">
                  <c:v>1.0157390121538059</c:v>
                </c:pt>
                <c:pt idx="114">
                  <c:v>1.0158781640149697</c:v>
                </c:pt>
                <c:pt idx="115">
                  <c:v>1.016017334939338</c:v>
                </c:pt>
                <c:pt idx="116">
                  <c:v>1.0161565249295224</c:v>
                </c:pt>
                <c:pt idx="117">
                  <c:v>1.0162957339881347</c:v>
                </c:pt>
                <c:pt idx="118">
                  <c:v>1.0164349621177873</c:v>
                </c:pt>
                <c:pt idx="119">
                  <c:v>1.0165742093210925</c:v>
                </c:pt>
                <c:pt idx="120">
                  <c:v>1.0167134756006639</c:v>
                </c:pt>
                <c:pt idx="121">
                  <c:v>1.0168527609591147</c:v>
                </c:pt>
                <c:pt idx="122">
                  <c:v>1.0169920653990583</c:v>
                </c:pt>
                <c:pt idx="123">
                  <c:v>1.0171313889231091</c:v>
                </c:pt>
                <c:pt idx="124">
                  <c:v>1.0172707315338814</c:v>
                </c:pt>
                <c:pt idx="125">
                  <c:v>1.01741009323399</c:v>
                </c:pt>
                <c:pt idx="126">
                  <c:v>1.0175494740260502</c:v>
                </c:pt>
                <c:pt idx="127">
                  <c:v>1.0176888739126773</c:v>
                </c:pt>
                <c:pt idx="128">
                  <c:v>1.0178282928964872</c:v>
                </c:pt>
                <c:pt idx="129">
                  <c:v>1.0179677309800965</c:v>
                </c:pt>
                <c:pt idx="130">
                  <c:v>1.0181071881661212</c:v>
                </c:pt>
                <c:pt idx="131">
                  <c:v>1.0182466644571788</c:v>
                </c:pt>
                <c:pt idx="132">
                  <c:v>1.0183861598558861</c:v>
                </c:pt>
                <c:pt idx="133">
                  <c:v>1.0185256743648612</c:v>
                </c:pt>
                <c:pt idx="134">
                  <c:v>1.0186652079867218</c:v>
                </c:pt>
                <c:pt idx="135">
                  <c:v>1.0188047607240867</c:v>
                </c:pt>
                <c:pt idx="136">
                  <c:v>1.018944332579574</c:v>
                </c:pt>
                <c:pt idx="137">
                  <c:v>1.0190839235558034</c:v>
                </c:pt>
                <c:pt idx="138">
                  <c:v>1.0192235336553941</c:v>
                </c:pt>
                <c:pt idx="139">
                  <c:v>1.0193631628809658</c:v>
                </c:pt>
                <c:pt idx="140">
                  <c:v>1.019502811235139</c:v>
                </c:pt>
                <c:pt idx="141">
                  <c:v>1.019642478720534</c:v>
                </c:pt>
                <c:pt idx="142">
                  <c:v>1.0197821653397716</c:v>
                </c:pt>
                <c:pt idx="143">
                  <c:v>1.0199218710954734</c:v>
                </c:pt>
                <c:pt idx="144">
                  <c:v>1.0200615959902608</c:v>
                </c:pt>
                <c:pt idx="145">
                  <c:v>1.0202013400267558</c:v>
                </c:pt>
                <c:pt idx="146">
                  <c:v>1.0203411032075806</c:v>
                </c:pt>
                <c:pt idx="147">
                  <c:v>1.0204808855353582</c:v>
                </c:pt>
                <c:pt idx="148">
                  <c:v>1.0206206870127115</c:v>
                </c:pt>
                <c:pt idx="149">
                  <c:v>1.0207605076422637</c:v>
                </c:pt>
                <c:pt idx="150">
                  <c:v>1.0209003474266387</c:v>
                </c:pt>
                <c:pt idx="151">
                  <c:v>1.0210402063684607</c:v>
                </c:pt>
                <c:pt idx="152">
                  <c:v>1.0211800844703542</c:v>
                </c:pt>
                <c:pt idx="153">
                  <c:v>1.0213199817349441</c:v>
                </c:pt>
                <c:pt idx="154">
                  <c:v>1.0214598981648555</c:v>
                </c:pt>
                <c:pt idx="155">
                  <c:v>1.0215998337627139</c:v>
                </c:pt>
                <c:pt idx="156">
                  <c:v>1.0217397885311452</c:v>
                </c:pt>
                <c:pt idx="157">
                  <c:v>1.021879762472776</c:v>
                </c:pt>
                <c:pt idx="158">
                  <c:v>1.0220197555902326</c:v>
                </c:pt>
                <c:pt idx="159">
                  <c:v>1.022159767886142</c:v>
                </c:pt>
                <c:pt idx="160">
                  <c:v>1.022299799363132</c:v>
                </c:pt>
                <c:pt idx="161">
                  <c:v>1.0224398500238299</c:v>
                </c:pt>
                <c:pt idx="162">
                  <c:v>1.0225799198708638</c:v>
                </c:pt>
                <c:pt idx="163">
                  <c:v>1.0227200089068624</c:v>
                </c:pt>
                <c:pt idx="164">
                  <c:v>1.0228601171344545</c:v>
                </c:pt>
                <c:pt idx="165">
                  <c:v>1.0230002445562689</c:v>
                </c:pt>
                <c:pt idx="166">
                  <c:v>1.0231403911749355</c:v>
                </c:pt>
                <c:pt idx="167">
                  <c:v>1.0232805569930841</c:v>
                </c:pt>
                <c:pt idx="168">
                  <c:v>1.0234207420133445</c:v>
                </c:pt>
                <c:pt idx="169">
                  <c:v>1.0235609462383481</c:v>
                </c:pt>
                <c:pt idx="170">
                  <c:v>1.0237011696707254</c:v>
                </c:pt>
                <c:pt idx="171">
                  <c:v>1.0238414123131077</c:v>
                </c:pt>
                <c:pt idx="172">
                  <c:v>1.0239816741681267</c:v>
                </c:pt>
                <c:pt idx="173">
                  <c:v>1.0241219552384146</c:v>
                </c:pt>
                <c:pt idx="174">
                  <c:v>1.0242622555266039</c:v>
                </c:pt>
                <c:pt idx="175">
                  <c:v>1.0244025750353269</c:v>
                </c:pt>
                <c:pt idx="176">
                  <c:v>1.0245429137672173</c:v>
                </c:pt>
                <c:pt idx="177">
                  <c:v>1.0246832717249084</c:v>
                </c:pt>
                <c:pt idx="178">
                  <c:v>1.0248236489110336</c:v>
                </c:pt>
                <c:pt idx="179">
                  <c:v>1.0249640453282278</c:v>
                </c:pt>
                <c:pt idx="180">
                  <c:v>1.0251044609791251</c:v>
                </c:pt>
                <c:pt idx="181">
                  <c:v>1.0252448958663607</c:v>
                </c:pt>
                <c:pt idx="182">
                  <c:v>1.0253853499925698</c:v>
                </c:pt>
                <c:pt idx="183">
                  <c:v>1.0255258233603879</c:v>
                </c:pt>
                <c:pt idx="184">
                  <c:v>1.0256663159724513</c:v>
                </c:pt>
                <c:pt idx="185">
                  <c:v>1.0258068278313963</c:v>
                </c:pt>
                <c:pt idx="186">
                  <c:v>1.0259473589398596</c:v>
                </c:pt>
                <c:pt idx="187">
                  <c:v>1.026087909300478</c:v>
                </c:pt>
                <c:pt idx="188">
                  <c:v>1.0262284789158895</c:v>
                </c:pt>
                <c:pt idx="189">
                  <c:v>1.0263690677887316</c:v>
                </c:pt>
                <c:pt idx="190">
                  <c:v>1.0265096759216426</c:v>
                </c:pt>
                <c:pt idx="191">
                  <c:v>1.0266503033172609</c:v>
                </c:pt>
                <c:pt idx="192">
                  <c:v>1.0267909499782257</c:v>
                </c:pt>
                <c:pt idx="193">
                  <c:v>1.026931615907176</c:v>
                </c:pt>
                <c:pt idx="194">
                  <c:v>1.0270723011067513</c:v>
                </c:pt>
                <c:pt idx="195">
                  <c:v>1.0272130055795921</c:v>
                </c:pt>
                <c:pt idx="196">
                  <c:v>1.0273537293283383</c:v>
                </c:pt>
                <c:pt idx="197">
                  <c:v>1.0274944723556307</c:v>
                </c:pt>
                <c:pt idx="198">
                  <c:v>1.0276352346641107</c:v>
                </c:pt>
                <c:pt idx="199">
                  <c:v>1.0277760162564193</c:v>
                </c:pt>
                <c:pt idx="200">
                  <c:v>1.0279168171351987</c:v>
                </c:pt>
                <c:pt idx="201">
                  <c:v>1.0280576373030905</c:v>
                </c:pt>
                <c:pt idx="202">
                  <c:v>1.0281984767627379</c:v>
                </c:pt>
                <c:pt idx="203">
                  <c:v>1.0283393355167834</c:v>
                </c:pt>
                <c:pt idx="204">
                  <c:v>1.0284802135678701</c:v>
                </c:pt>
                <c:pt idx="205">
                  <c:v>1.0286211109186421</c:v>
                </c:pt>
                <c:pt idx="206">
                  <c:v>1.0287620275717431</c:v>
                </c:pt>
                <c:pt idx="207">
                  <c:v>1.0289029635298172</c:v>
                </c:pt>
                <c:pt idx="208">
                  <c:v>1.0290439187955094</c:v>
                </c:pt>
                <c:pt idx="209">
                  <c:v>1.0291848933714649</c:v>
                </c:pt>
                <c:pt idx="210">
                  <c:v>1.0293258872603288</c:v>
                </c:pt>
                <c:pt idx="211">
                  <c:v>1.029466900464747</c:v>
                </c:pt>
                <c:pt idx="212">
                  <c:v>1.0296079329873655</c:v>
                </c:pt>
                <c:pt idx="213">
                  <c:v>1.0297489848308312</c:v>
                </c:pt>
                <c:pt idx="214">
                  <c:v>1.0298900559977906</c:v>
                </c:pt>
                <c:pt idx="215">
                  <c:v>1.0300311464908911</c:v>
                </c:pt>
                <c:pt idx="216">
                  <c:v>1.0301722563127802</c:v>
                </c:pt>
                <c:pt idx="217">
                  <c:v>1.0303133854661062</c:v>
                </c:pt>
                <c:pt idx="218">
                  <c:v>1.0304545339535169</c:v>
                </c:pt>
                <c:pt idx="219">
                  <c:v>1.0305957017776612</c:v>
                </c:pt>
                <c:pt idx="220">
                  <c:v>1.0307368889411883</c:v>
                </c:pt>
                <c:pt idx="221">
                  <c:v>1.0308780954467476</c:v>
                </c:pt>
                <c:pt idx="222">
                  <c:v>1.0310193212969885</c:v>
                </c:pt>
                <c:pt idx="223">
                  <c:v>1.0311605664945616</c:v>
                </c:pt>
                <c:pt idx="224">
                  <c:v>1.0313018310421171</c:v>
                </c:pt>
                <c:pt idx="225">
                  <c:v>1.0314431149423062</c:v>
                </c:pt>
                <c:pt idx="226">
                  <c:v>1.0315844181977798</c:v>
                </c:pt>
                <c:pt idx="227">
                  <c:v>1.0317257408111895</c:v>
                </c:pt>
                <c:pt idx="228">
                  <c:v>1.0318670827851875</c:v>
                </c:pt>
                <c:pt idx="229">
                  <c:v>1.0320084441224258</c:v>
                </c:pt>
                <c:pt idx="230">
                  <c:v>1.0321498248255572</c:v>
                </c:pt>
                <c:pt idx="231">
                  <c:v>1.0322912248972349</c:v>
                </c:pt>
                <c:pt idx="232">
                  <c:v>1.0324326443401122</c:v>
                </c:pt>
                <c:pt idx="233">
                  <c:v>1.0325740831568428</c:v>
                </c:pt>
                <c:pt idx="234">
                  <c:v>1.032715541350081</c:v>
                </c:pt>
                <c:pt idx="235">
                  <c:v>1.0328570189224813</c:v>
                </c:pt>
                <c:pt idx="236">
                  <c:v>1.0329985158766983</c:v>
                </c:pt>
                <c:pt idx="237">
                  <c:v>1.0331400322153874</c:v>
                </c:pt>
                <c:pt idx="238">
                  <c:v>1.0332815679412042</c:v>
                </c:pt>
                <c:pt idx="239">
                  <c:v>1.0334231230568047</c:v>
                </c:pt>
                <c:pt idx="240">
                  <c:v>1.0335646975648449</c:v>
                </c:pt>
                <c:pt idx="241">
                  <c:v>1.033706291467982</c:v>
                </c:pt>
                <c:pt idx="242">
                  <c:v>1.0338479047688727</c:v>
                </c:pt>
                <c:pt idx="243">
                  <c:v>1.0339895374701744</c:v>
                </c:pt>
                <c:pt idx="244">
                  <c:v>1.0341311895745451</c:v>
                </c:pt>
                <c:pt idx="245">
                  <c:v>1.0342728610846426</c:v>
                </c:pt>
                <c:pt idx="246">
                  <c:v>1.0344145520031256</c:v>
                </c:pt>
                <c:pt idx="247">
                  <c:v>1.0345562623326532</c:v>
                </c:pt>
                <c:pt idx="248">
                  <c:v>1.0346979920758841</c:v>
                </c:pt>
                <c:pt idx="249">
                  <c:v>1.0348397412354782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88-4277-B56D-64878B8825EB}"/>
            </c:ext>
          </c:extLst>
        </c:ser>
        <c:ser>
          <c:idx val="1"/>
          <c:order val="1"/>
          <c:tx>
            <c:v>Discount factor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'discount rate vba soln'!$C$8:$C$1007</c:f>
              <c:numCache>
                <c:formatCode>General</c:formatCode>
                <c:ptCount val="1000"/>
                <c:pt idx="0">
                  <c:v>2.7397260273972603E-3</c:v>
                </c:pt>
                <c:pt idx="1">
                  <c:v>5.4794520547945206E-3</c:v>
                </c:pt>
                <c:pt idx="2">
                  <c:v>8.21917808219178E-3</c:v>
                </c:pt>
                <c:pt idx="3">
                  <c:v>1.0958904109589041E-2</c:v>
                </c:pt>
                <c:pt idx="4">
                  <c:v>1.3698630136986301E-2</c:v>
                </c:pt>
                <c:pt idx="5">
                  <c:v>1.643835616438356E-2</c:v>
                </c:pt>
                <c:pt idx="6">
                  <c:v>1.9178082191780823E-2</c:v>
                </c:pt>
                <c:pt idx="7">
                  <c:v>2.1917808219178082E-2</c:v>
                </c:pt>
                <c:pt idx="8">
                  <c:v>2.4657534246575342E-2</c:v>
                </c:pt>
                <c:pt idx="9">
                  <c:v>2.7397260273972601E-2</c:v>
                </c:pt>
                <c:pt idx="10">
                  <c:v>3.0136986301369864E-2</c:v>
                </c:pt>
                <c:pt idx="11">
                  <c:v>3.287671232876712E-2</c:v>
                </c:pt>
                <c:pt idx="12">
                  <c:v>3.5616438356164383E-2</c:v>
                </c:pt>
                <c:pt idx="13">
                  <c:v>3.8356164383561646E-2</c:v>
                </c:pt>
                <c:pt idx="14">
                  <c:v>4.1095890410958902E-2</c:v>
                </c:pt>
                <c:pt idx="15">
                  <c:v>4.3835616438356165E-2</c:v>
                </c:pt>
                <c:pt idx="16">
                  <c:v>4.6575342465753428E-2</c:v>
                </c:pt>
                <c:pt idx="17">
                  <c:v>4.9315068493150684E-2</c:v>
                </c:pt>
                <c:pt idx="18">
                  <c:v>5.2054794520547946E-2</c:v>
                </c:pt>
                <c:pt idx="19">
                  <c:v>5.4794520547945202E-2</c:v>
                </c:pt>
                <c:pt idx="20">
                  <c:v>5.7534246575342465E-2</c:v>
                </c:pt>
                <c:pt idx="21">
                  <c:v>6.0273972602739728E-2</c:v>
                </c:pt>
                <c:pt idx="22">
                  <c:v>6.3013698630136991E-2</c:v>
                </c:pt>
                <c:pt idx="23">
                  <c:v>6.575342465753424E-2</c:v>
                </c:pt>
                <c:pt idx="24">
                  <c:v>6.8493150684931503E-2</c:v>
                </c:pt>
                <c:pt idx="25">
                  <c:v>7.1232876712328766E-2</c:v>
                </c:pt>
                <c:pt idx="26">
                  <c:v>7.3972602739726029E-2</c:v>
                </c:pt>
                <c:pt idx="27">
                  <c:v>7.6712328767123292E-2</c:v>
                </c:pt>
                <c:pt idx="28">
                  <c:v>7.9452054794520555E-2</c:v>
                </c:pt>
                <c:pt idx="29">
                  <c:v>8.2191780821917804E-2</c:v>
                </c:pt>
                <c:pt idx="30">
                  <c:v>8.4931506849315067E-2</c:v>
                </c:pt>
                <c:pt idx="31">
                  <c:v>8.7671232876712329E-2</c:v>
                </c:pt>
                <c:pt idx="32">
                  <c:v>9.0410958904109592E-2</c:v>
                </c:pt>
                <c:pt idx="33">
                  <c:v>9.3150684931506855E-2</c:v>
                </c:pt>
                <c:pt idx="34">
                  <c:v>9.5890410958904104E-2</c:v>
                </c:pt>
                <c:pt idx="35">
                  <c:v>9.8630136986301367E-2</c:v>
                </c:pt>
                <c:pt idx="36">
                  <c:v>0.10136986301369863</c:v>
                </c:pt>
                <c:pt idx="37">
                  <c:v>0.10410958904109589</c:v>
                </c:pt>
                <c:pt idx="38">
                  <c:v>0.10684931506849316</c:v>
                </c:pt>
                <c:pt idx="39">
                  <c:v>0.1095890410958904</c:v>
                </c:pt>
                <c:pt idx="40">
                  <c:v>0.11232876712328767</c:v>
                </c:pt>
                <c:pt idx="41">
                  <c:v>0.11506849315068493</c:v>
                </c:pt>
                <c:pt idx="42">
                  <c:v>0.11780821917808219</c:v>
                </c:pt>
                <c:pt idx="43">
                  <c:v>0.12054794520547946</c:v>
                </c:pt>
                <c:pt idx="44">
                  <c:v>0.12328767123287671</c:v>
                </c:pt>
                <c:pt idx="45">
                  <c:v>0.12602739726027398</c:v>
                </c:pt>
                <c:pt idx="46">
                  <c:v>0.12876712328767123</c:v>
                </c:pt>
                <c:pt idx="47">
                  <c:v>0.13150684931506848</c:v>
                </c:pt>
                <c:pt idx="48">
                  <c:v>0.13424657534246576</c:v>
                </c:pt>
                <c:pt idx="49">
                  <c:v>0.13698630136986301</c:v>
                </c:pt>
                <c:pt idx="50">
                  <c:v>0.13972602739726028</c:v>
                </c:pt>
                <c:pt idx="51">
                  <c:v>0.14246575342465753</c:v>
                </c:pt>
                <c:pt idx="52">
                  <c:v>0.14520547945205478</c:v>
                </c:pt>
                <c:pt idx="53">
                  <c:v>0.14794520547945206</c:v>
                </c:pt>
                <c:pt idx="54">
                  <c:v>0.15068493150684931</c:v>
                </c:pt>
                <c:pt idx="55">
                  <c:v>0.15342465753424658</c:v>
                </c:pt>
                <c:pt idx="56">
                  <c:v>0.15616438356164383</c:v>
                </c:pt>
                <c:pt idx="57">
                  <c:v>0.15890410958904111</c:v>
                </c:pt>
                <c:pt idx="58">
                  <c:v>0.16164383561643836</c:v>
                </c:pt>
                <c:pt idx="59">
                  <c:v>0.16438356164383561</c:v>
                </c:pt>
                <c:pt idx="60">
                  <c:v>0.16712328767123288</c:v>
                </c:pt>
                <c:pt idx="61">
                  <c:v>0.16986301369863013</c:v>
                </c:pt>
                <c:pt idx="62">
                  <c:v>0.17260273972602741</c:v>
                </c:pt>
                <c:pt idx="63">
                  <c:v>0.17534246575342466</c:v>
                </c:pt>
                <c:pt idx="64">
                  <c:v>0.17808219178082191</c:v>
                </c:pt>
                <c:pt idx="65">
                  <c:v>0.18082191780821918</c:v>
                </c:pt>
                <c:pt idx="66">
                  <c:v>0.18356164383561643</c:v>
                </c:pt>
                <c:pt idx="67">
                  <c:v>0.18630136986301371</c:v>
                </c:pt>
                <c:pt idx="68">
                  <c:v>0.18904109589041096</c:v>
                </c:pt>
                <c:pt idx="69">
                  <c:v>0.19178082191780821</c:v>
                </c:pt>
                <c:pt idx="70">
                  <c:v>0.19452054794520549</c:v>
                </c:pt>
                <c:pt idx="71">
                  <c:v>0.19726027397260273</c:v>
                </c:pt>
                <c:pt idx="72">
                  <c:v>0.2</c:v>
                </c:pt>
                <c:pt idx="73">
                  <c:v>0.20273972602739726</c:v>
                </c:pt>
                <c:pt idx="74">
                  <c:v>0.20547945205479451</c:v>
                </c:pt>
                <c:pt idx="75">
                  <c:v>0.20821917808219179</c:v>
                </c:pt>
                <c:pt idx="76">
                  <c:v>0.21095890410958903</c:v>
                </c:pt>
                <c:pt idx="77">
                  <c:v>0.21369863013698631</c:v>
                </c:pt>
                <c:pt idx="78">
                  <c:v>0.21643835616438356</c:v>
                </c:pt>
                <c:pt idx="79">
                  <c:v>0.21917808219178081</c:v>
                </c:pt>
                <c:pt idx="80">
                  <c:v>0.22191780821917809</c:v>
                </c:pt>
                <c:pt idx="81">
                  <c:v>0.22465753424657534</c:v>
                </c:pt>
                <c:pt idx="82">
                  <c:v>0.22739726027397261</c:v>
                </c:pt>
                <c:pt idx="83">
                  <c:v>0.23013698630136986</c:v>
                </c:pt>
                <c:pt idx="84">
                  <c:v>0.23287671232876711</c:v>
                </c:pt>
                <c:pt idx="85">
                  <c:v>0.23561643835616439</c:v>
                </c:pt>
                <c:pt idx="86">
                  <c:v>0.23835616438356164</c:v>
                </c:pt>
                <c:pt idx="87">
                  <c:v>0.24109589041095891</c:v>
                </c:pt>
                <c:pt idx="88">
                  <c:v>0.24383561643835616</c:v>
                </c:pt>
                <c:pt idx="89">
                  <c:v>0.24657534246575341</c:v>
                </c:pt>
                <c:pt idx="90">
                  <c:v>0.24931506849315069</c:v>
                </c:pt>
                <c:pt idx="91">
                  <c:v>0.25205479452054796</c:v>
                </c:pt>
                <c:pt idx="92">
                  <c:v>0.25479452054794521</c:v>
                </c:pt>
                <c:pt idx="93">
                  <c:v>0.25753424657534246</c:v>
                </c:pt>
                <c:pt idx="94">
                  <c:v>0.26027397260273971</c:v>
                </c:pt>
                <c:pt idx="95">
                  <c:v>0.26301369863013696</c:v>
                </c:pt>
                <c:pt idx="96">
                  <c:v>0.26575342465753427</c:v>
                </c:pt>
                <c:pt idx="97">
                  <c:v>0.26849315068493151</c:v>
                </c:pt>
                <c:pt idx="98">
                  <c:v>0.27123287671232876</c:v>
                </c:pt>
                <c:pt idx="99">
                  <c:v>0.27397260273972601</c:v>
                </c:pt>
                <c:pt idx="100">
                  <c:v>0.27671232876712326</c:v>
                </c:pt>
                <c:pt idx="101">
                  <c:v>0.27945205479452057</c:v>
                </c:pt>
                <c:pt idx="102">
                  <c:v>0.28219178082191781</c:v>
                </c:pt>
                <c:pt idx="103">
                  <c:v>0.28493150684931506</c:v>
                </c:pt>
                <c:pt idx="104">
                  <c:v>0.28767123287671231</c:v>
                </c:pt>
                <c:pt idx="105">
                  <c:v>0.29041095890410956</c:v>
                </c:pt>
                <c:pt idx="106">
                  <c:v>0.29315068493150687</c:v>
                </c:pt>
                <c:pt idx="107">
                  <c:v>0.29589041095890412</c:v>
                </c:pt>
                <c:pt idx="108">
                  <c:v>0.29863013698630136</c:v>
                </c:pt>
                <c:pt idx="109">
                  <c:v>0.30136986301369861</c:v>
                </c:pt>
                <c:pt idx="110">
                  <c:v>0.30410958904109592</c:v>
                </c:pt>
                <c:pt idx="111">
                  <c:v>0.30684931506849317</c:v>
                </c:pt>
                <c:pt idx="112">
                  <c:v>0.30958904109589042</c:v>
                </c:pt>
                <c:pt idx="113">
                  <c:v>0.31232876712328766</c:v>
                </c:pt>
                <c:pt idx="114">
                  <c:v>0.31506849315068491</c:v>
                </c:pt>
                <c:pt idx="115">
                  <c:v>0.31780821917808222</c:v>
                </c:pt>
                <c:pt idx="116">
                  <c:v>0.32054794520547947</c:v>
                </c:pt>
                <c:pt idx="117">
                  <c:v>0.32328767123287672</c:v>
                </c:pt>
                <c:pt idx="118">
                  <c:v>0.32602739726027397</c:v>
                </c:pt>
                <c:pt idx="119">
                  <c:v>0.32876712328767121</c:v>
                </c:pt>
                <c:pt idx="120">
                  <c:v>0.33150684931506852</c:v>
                </c:pt>
                <c:pt idx="121">
                  <c:v>0.33424657534246577</c:v>
                </c:pt>
                <c:pt idx="122">
                  <c:v>0.33698630136986302</c:v>
                </c:pt>
                <c:pt idx="123">
                  <c:v>0.33972602739726027</c:v>
                </c:pt>
                <c:pt idx="124">
                  <c:v>0.34246575342465752</c:v>
                </c:pt>
                <c:pt idx="125">
                  <c:v>0.34520547945205482</c:v>
                </c:pt>
                <c:pt idx="126">
                  <c:v>0.34794520547945207</c:v>
                </c:pt>
                <c:pt idx="127">
                  <c:v>0.35068493150684932</c:v>
                </c:pt>
                <c:pt idx="128">
                  <c:v>0.35342465753424657</c:v>
                </c:pt>
                <c:pt idx="129">
                  <c:v>0.35616438356164382</c:v>
                </c:pt>
                <c:pt idx="130">
                  <c:v>0.35890410958904112</c:v>
                </c:pt>
                <c:pt idx="131">
                  <c:v>0.36164383561643837</c:v>
                </c:pt>
                <c:pt idx="132">
                  <c:v>0.36438356164383562</c:v>
                </c:pt>
                <c:pt idx="133">
                  <c:v>0.36712328767123287</c:v>
                </c:pt>
                <c:pt idx="134">
                  <c:v>0.36986301369863012</c:v>
                </c:pt>
                <c:pt idx="135">
                  <c:v>0.37260273972602742</c:v>
                </c:pt>
                <c:pt idx="136">
                  <c:v>0.37534246575342467</c:v>
                </c:pt>
                <c:pt idx="137">
                  <c:v>0.37808219178082192</c:v>
                </c:pt>
                <c:pt idx="138">
                  <c:v>0.38082191780821917</c:v>
                </c:pt>
                <c:pt idx="139">
                  <c:v>0.38356164383561642</c:v>
                </c:pt>
                <c:pt idx="140">
                  <c:v>0.38630136986301372</c:v>
                </c:pt>
                <c:pt idx="141">
                  <c:v>0.38904109589041097</c:v>
                </c:pt>
                <c:pt idx="142">
                  <c:v>0.39178082191780822</c:v>
                </c:pt>
                <c:pt idx="143">
                  <c:v>0.39452054794520547</c:v>
                </c:pt>
                <c:pt idx="144">
                  <c:v>0.39726027397260272</c:v>
                </c:pt>
                <c:pt idx="145">
                  <c:v>0.4</c:v>
                </c:pt>
                <c:pt idx="146">
                  <c:v>0.40273972602739727</c:v>
                </c:pt>
                <c:pt idx="147">
                  <c:v>0.40547945205479452</c:v>
                </c:pt>
                <c:pt idx="148">
                  <c:v>0.40821917808219177</c:v>
                </c:pt>
                <c:pt idx="149">
                  <c:v>0.41095890410958902</c:v>
                </c:pt>
                <c:pt idx="150">
                  <c:v>0.41369863013698632</c:v>
                </c:pt>
                <c:pt idx="151">
                  <c:v>0.41643835616438357</c:v>
                </c:pt>
                <c:pt idx="152">
                  <c:v>0.41917808219178082</c:v>
                </c:pt>
                <c:pt idx="153">
                  <c:v>0.42191780821917807</c:v>
                </c:pt>
                <c:pt idx="154">
                  <c:v>0.42465753424657532</c:v>
                </c:pt>
                <c:pt idx="155">
                  <c:v>0.42739726027397262</c:v>
                </c:pt>
                <c:pt idx="156">
                  <c:v>0.43013698630136987</c:v>
                </c:pt>
                <c:pt idx="157">
                  <c:v>0.43287671232876712</c:v>
                </c:pt>
                <c:pt idx="158">
                  <c:v>0.43561643835616437</c:v>
                </c:pt>
                <c:pt idx="159">
                  <c:v>0.43835616438356162</c:v>
                </c:pt>
                <c:pt idx="160">
                  <c:v>0.44109589041095892</c:v>
                </c:pt>
                <c:pt idx="161">
                  <c:v>0.44383561643835617</c:v>
                </c:pt>
                <c:pt idx="162">
                  <c:v>0.44657534246575342</c:v>
                </c:pt>
                <c:pt idx="163">
                  <c:v>0.44931506849315067</c:v>
                </c:pt>
                <c:pt idx="164">
                  <c:v>0.45205479452054792</c:v>
                </c:pt>
                <c:pt idx="165">
                  <c:v>0.45479452054794522</c:v>
                </c:pt>
                <c:pt idx="166">
                  <c:v>0.45753424657534247</c:v>
                </c:pt>
                <c:pt idx="167">
                  <c:v>0.46027397260273972</c:v>
                </c:pt>
                <c:pt idx="168">
                  <c:v>0.46301369863013697</c:v>
                </c:pt>
                <c:pt idx="169">
                  <c:v>0.46575342465753422</c:v>
                </c:pt>
                <c:pt idx="170">
                  <c:v>0.46849315068493153</c:v>
                </c:pt>
                <c:pt idx="171">
                  <c:v>0.47123287671232877</c:v>
                </c:pt>
                <c:pt idx="172">
                  <c:v>0.47397260273972602</c:v>
                </c:pt>
                <c:pt idx="173">
                  <c:v>0.47671232876712327</c:v>
                </c:pt>
                <c:pt idx="174">
                  <c:v>0.47945205479452052</c:v>
                </c:pt>
                <c:pt idx="175">
                  <c:v>0.48219178082191783</c:v>
                </c:pt>
                <c:pt idx="176">
                  <c:v>0.48493150684931507</c:v>
                </c:pt>
                <c:pt idx="177">
                  <c:v>0.48767123287671232</c:v>
                </c:pt>
                <c:pt idx="178">
                  <c:v>0.49041095890410957</c:v>
                </c:pt>
                <c:pt idx="179">
                  <c:v>0.49315068493150682</c:v>
                </c:pt>
                <c:pt idx="180">
                  <c:v>0.49589041095890413</c:v>
                </c:pt>
                <c:pt idx="181">
                  <c:v>0.49863013698630138</c:v>
                </c:pt>
                <c:pt idx="182">
                  <c:v>0.50136986301369868</c:v>
                </c:pt>
                <c:pt idx="183">
                  <c:v>0.50410958904109593</c:v>
                </c:pt>
                <c:pt idx="184">
                  <c:v>0.50684931506849318</c:v>
                </c:pt>
                <c:pt idx="185">
                  <c:v>0.50958904109589043</c:v>
                </c:pt>
                <c:pt idx="186">
                  <c:v>0.51232876712328768</c:v>
                </c:pt>
                <c:pt idx="187">
                  <c:v>0.51506849315068493</c:v>
                </c:pt>
                <c:pt idx="188">
                  <c:v>0.51780821917808217</c:v>
                </c:pt>
                <c:pt idx="189">
                  <c:v>0.52054794520547942</c:v>
                </c:pt>
                <c:pt idx="190">
                  <c:v>0.52328767123287667</c:v>
                </c:pt>
                <c:pt idx="191">
                  <c:v>0.52602739726027392</c:v>
                </c:pt>
                <c:pt idx="192">
                  <c:v>0.52876712328767128</c:v>
                </c:pt>
                <c:pt idx="193">
                  <c:v>0.53150684931506853</c:v>
                </c:pt>
                <c:pt idx="194">
                  <c:v>0.53424657534246578</c:v>
                </c:pt>
                <c:pt idx="195">
                  <c:v>0.53698630136986303</c:v>
                </c:pt>
                <c:pt idx="196">
                  <c:v>0.53972602739726028</c:v>
                </c:pt>
                <c:pt idx="197">
                  <c:v>0.54246575342465753</c:v>
                </c:pt>
                <c:pt idx="198">
                  <c:v>0.54520547945205478</c:v>
                </c:pt>
                <c:pt idx="199">
                  <c:v>0.54794520547945202</c:v>
                </c:pt>
                <c:pt idx="200">
                  <c:v>0.55068493150684927</c:v>
                </c:pt>
                <c:pt idx="201">
                  <c:v>0.55342465753424652</c:v>
                </c:pt>
                <c:pt idx="202">
                  <c:v>0.55616438356164388</c:v>
                </c:pt>
                <c:pt idx="203">
                  <c:v>0.55890410958904113</c:v>
                </c:pt>
                <c:pt idx="204">
                  <c:v>0.56164383561643838</c:v>
                </c:pt>
                <c:pt idx="205">
                  <c:v>0.56438356164383563</c:v>
                </c:pt>
                <c:pt idx="206">
                  <c:v>0.56712328767123288</c:v>
                </c:pt>
                <c:pt idx="207">
                  <c:v>0.56986301369863013</c:v>
                </c:pt>
                <c:pt idx="208">
                  <c:v>0.57260273972602738</c:v>
                </c:pt>
                <c:pt idx="209">
                  <c:v>0.57534246575342463</c:v>
                </c:pt>
                <c:pt idx="210">
                  <c:v>0.57808219178082187</c:v>
                </c:pt>
                <c:pt idx="211">
                  <c:v>0.58082191780821912</c:v>
                </c:pt>
                <c:pt idx="212">
                  <c:v>0.58356164383561648</c:v>
                </c:pt>
                <c:pt idx="213">
                  <c:v>0.58630136986301373</c:v>
                </c:pt>
                <c:pt idx="214">
                  <c:v>0.58904109589041098</c:v>
                </c:pt>
                <c:pt idx="215">
                  <c:v>0.59178082191780823</c:v>
                </c:pt>
                <c:pt idx="216">
                  <c:v>0.59452054794520548</c:v>
                </c:pt>
                <c:pt idx="217">
                  <c:v>0.59726027397260273</c:v>
                </c:pt>
                <c:pt idx="218">
                  <c:v>0.6</c:v>
                </c:pt>
                <c:pt idx="219">
                  <c:v>0.60273972602739723</c:v>
                </c:pt>
                <c:pt idx="220">
                  <c:v>0.60547945205479448</c:v>
                </c:pt>
                <c:pt idx="221">
                  <c:v>0.60821917808219184</c:v>
                </c:pt>
                <c:pt idx="222">
                  <c:v>0.61095890410958908</c:v>
                </c:pt>
                <c:pt idx="223">
                  <c:v>0.61369863013698633</c:v>
                </c:pt>
                <c:pt idx="224">
                  <c:v>0.61643835616438358</c:v>
                </c:pt>
                <c:pt idx="225">
                  <c:v>0.61917808219178083</c:v>
                </c:pt>
                <c:pt idx="226">
                  <c:v>0.62191780821917808</c:v>
                </c:pt>
                <c:pt idx="227">
                  <c:v>0.62465753424657533</c:v>
                </c:pt>
                <c:pt idx="228">
                  <c:v>0.62739726027397258</c:v>
                </c:pt>
                <c:pt idx="229">
                  <c:v>0.63013698630136983</c:v>
                </c:pt>
                <c:pt idx="230">
                  <c:v>0.63287671232876708</c:v>
                </c:pt>
                <c:pt idx="231">
                  <c:v>0.63561643835616444</c:v>
                </c:pt>
                <c:pt idx="232">
                  <c:v>0.63835616438356169</c:v>
                </c:pt>
                <c:pt idx="233">
                  <c:v>0.64109589041095894</c:v>
                </c:pt>
                <c:pt idx="234">
                  <c:v>0.64383561643835618</c:v>
                </c:pt>
                <c:pt idx="235">
                  <c:v>0.64657534246575343</c:v>
                </c:pt>
                <c:pt idx="236">
                  <c:v>0.64931506849315068</c:v>
                </c:pt>
                <c:pt idx="237">
                  <c:v>0.65205479452054793</c:v>
                </c:pt>
                <c:pt idx="238">
                  <c:v>0.65479452054794518</c:v>
                </c:pt>
                <c:pt idx="239">
                  <c:v>0.65753424657534243</c:v>
                </c:pt>
                <c:pt idx="240">
                  <c:v>0.66027397260273968</c:v>
                </c:pt>
                <c:pt idx="241">
                  <c:v>0.66301369863013704</c:v>
                </c:pt>
                <c:pt idx="242">
                  <c:v>0.66575342465753429</c:v>
                </c:pt>
                <c:pt idx="243">
                  <c:v>0.66849315068493154</c:v>
                </c:pt>
                <c:pt idx="244">
                  <c:v>0.67123287671232879</c:v>
                </c:pt>
                <c:pt idx="245">
                  <c:v>0.67397260273972603</c:v>
                </c:pt>
                <c:pt idx="246">
                  <c:v>0.67671232876712328</c:v>
                </c:pt>
                <c:pt idx="247">
                  <c:v>0.67945205479452053</c:v>
                </c:pt>
                <c:pt idx="248">
                  <c:v>0.68219178082191778</c:v>
                </c:pt>
                <c:pt idx="249">
                  <c:v>0.68493150684931503</c:v>
                </c:pt>
              </c:numCache>
            </c:numRef>
          </c:xVal>
          <c:yVal>
            <c:numRef>
              <c:f>'discount rate vba soln'!$E$8:$E$1007</c:f>
              <c:numCache>
                <c:formatCode>0.000</c:formatCode>
                <c:ptCount val="1000"/>
                <c:pt idx="0">
                  <c:v>0.99986302308082509</c:v>
                </c:pt>
                <c:pt idx="1">
                  <c:v>0.99972606492432659</c:v>
                </c:pt>
                <c:pt idx="2">
                  <c:v>0.99958912552793444</c:v>
                </c:pt>
                <c:pt idx="3">
                  <c:v>0.99945220488907882</c:v>
                </c:pt>
                <c:pt idx="4">
                  <c:v>0.99931530300519056</c:v>
                </c:pt>
                <c:pt idx="5">
                  <c:v>0.9991784198737006</c:v>
                </c:pt>
                <c:pt idx="6">
                  <c:v>0.99904155549204032</c:v>
                </c:pt>
                <c:pt idx="7">
                  <c:v>0.99890470985764124</c:v>
                </c:pt>
                <c:pt idx="8">
                  <c:v>0.99876788296793573</c:v>
                </c:pt>
                <c:pt idx="9">
                  <c:v>0.99863107482035596</c:v>
                </c:pt>
                <c:pt idx="10">
                  <c:v>0.99849428541233465</c:v>
                </c:pt>
                <c:pt idx="11">
                  <c:v>0.99835751474130519</c:v>
                </c:pt>
                <c:pt idx="12">
                  <c:v>0.99822076280470085</c:v>
                </c:pt>
                <c:pt idx="13">
                  <c:v>0.99808402959995546</c:v>
                </c:pt>
                <c:pt idx="14">
                  <c:v>0.99794731512450319</c:v>
                </c:pt>
                <c:pt idx="15">
                  <c:v>0.99781061937577853</c:v>
                </c:pt>
                <c:pt idx="16">
                  <c:v>0.99767394235121643</c:v>
                </c:pt>
                <c:pt idx="17">
                  <c:v>0.99753728404825204</c:v>
                </c:pt>
                <c:pt idx="18">
                  <c:v>0.99740064446432108</c:v>
                </c:pt>
                <c:pt idx="19">
                  <c:v>0.99726402359685928</c:v>
                </c:pt>
                <c:pt idx="20">
                  <c:v>0.99712742144330302</c:v>
                </c:pt>
                <c:pt idx="21">
                  <c:v>0.9969908380010889</c:v>
                </c:pt>
                <c:pt idx="22">
                  <c:v>0.99685427326765397</c:v>
                </c:pt>
                <c:pt idx="23">
                  <c:v>0.99671772724043539</c:v>
                </c:pt>
                <c:pt idx="24">
                  <c:v>0.996581199916871</c:v>
                </c:pt>
                <c:pt idx="25">
                  <c:v>0.99644469129439872</c:v>
                </c:pt>
                <c:pt idx="26">
                  <c:v>0.99630820137045706</c:v>
                </c:pt>
                <c:pt idx="27">
                  <c:v>0.99617173014248461</c:v>
                </c:pt>
                <c:pt idx="28">
                  <c:v>0.99603527760792065</c:v>
                </c:pt>
                <c:pt idx="29">
                  <c:v>0.99589884376420434</c:v>
                </c:pt>
                <c:pt idx="30">
                  <c:v>0.99576242860877573</c:v>
                </c:pt>
                <c:pt idx="31">
                  <c:v>0.99562603213907475</c:v>
                </c:pt>
                <c:pt idx="32">
                  <c:v>0.995489654352542</c:v>
                </c:pt>
                <c:pt idx="33">
                  <c:v>0.99535329524661831</c:v>
                </c:pt>
                <c:pt idx="34">
                  <c:v>0.99521695481874484</c:v>
                </c:pt>
                <c:pt idx="35">
                  <c:v>0.99508063306636318</c:v>
                </c:pt>
                <c:pt idx="36">
                  <c:v>0.99494432998691518</c:v>
                </c:pt>
                <c:pt idx="37">
                  <c:v>0.99480804557784297</c:v>
                </c:pt>
                <c:pt idx="38">
                  <c:v>0.99467177983658939</c:v>
                </c:pt>
                <c:pt idx="39">
                  <c:v>0.99453553276059714</c:v>
                </c:pt>
                <c:pt idx="40">
                  <c:v>0.99439930434730961</c:v>
                </c:pt>
                <c:pt idx="41">
                  <c:v>0.99426309459417039</c:v>
                </c:pt>
                <c:pt idx="42">
                  <c:v>0.99412690349862365</c:v>
                </c:pt>
                <c:pt idx="43">
                  <c:v>0.99399073105811353</c:v>
                </c:pt>
                <c:pt idx="44">
                  <c:v>0.99385457727008475</c:v>
                </c:pt>
                <c:pt idx="45">
                  <c:v>0.99371844213198246</c:v>
                </c:pt>
                <c:pt idx="46">
                  <c:v>0.99358232564125193</c:v>
                </c:pt>
                <c:pt idx="47">
                  <c:v>0.99344622779533898</c:v>
                </c:pt>
                <c:pt idx="48">
                  <c:v>0.99331014859168965</c:v>
                </c:pt>
                <c:pt idx="49">
                  <c:v>0.99317408802775042</c:v>
                </c:pt>
                <c:pt idx="50">
                  <c:v>0.99303804610096802</c:v>
                </c:pt>
                <c:pt idx="51">
                  <c:v>0.99290202280878959</c:v>
                </c:pt>
                <c:pt idx="52">
                  <c:v>0.99276601814866272</c:v>
                </c:pt>
                <c:pt idx="53">
                  <c:v>0.99263003211803524</c:v>
                </c:pt>
                <c:pt idx="54">
                  <c:v>0.9924940647143552</c:v>
                </c:pt>
                <c:pt idx="55">
                  <c:v>0.99235811593507128</c:v>
                </c:pt>
                <c:pt idx="56">
                  <c:v>0.99222218577763233</c:v>
                </c:pt>
                <c:pt idx="57">
                  <c:v>0.99208627423948748</c:v>
                </c:pt>
                <c:pt idx="58">
                  <c:v>0.99195038131808644</c:v>
                </c:pt>
                <c:pt idx="59">
                  <c:v>0.99181450701087914</c:v>
                </c:pt>
                <c:pt idx="60">
                  <c:v>0.99167865131531585</c:v>
                </c:pt>
                <c:pt idx="61">
                  <c:v>0.99154281422884716</c:v>
                </c:pt>
                <c:pt idx="62">
                  <c:v>0.9914069957489241</c:v>
                </c:pt>
                <c:pt idx="63">
                  <c:v>0.99127119587299795</c:v>
                </c:pt>
                <c:pt idx="64">
                  <c:v>0.99113541459852039</c:v>
                </c:pt>
                <c:pt idx="65">
                  <c:v>0.99099965192294359</c:v>
                </c:pt>
                <c:pt idx="66">
                  <c:v>0.9908639078437198</c:v>
                </c:pt>
                <c:pt idx="67">
                  <c:v>0.99072818235830173</c:v>
                </c:pt>
                <c:pt idx="68">
                  <c:v>0.99059247546414253</c:v>
                </c:pt>
                <c:pt idx="69">
                  <c:v>0.99045678715869567</c:v>
                </c:pt>
                <c:pt idx="70">
                  <c:v>0.99032111743941476</c:v>
                </c:pt>
                <c:pt idx="71">
                  <c:v>0.99018546630375415</c:v>
                </c:pt>
                <c:pt idx="72">
                  <c:v>0.99004983374916811</c:v>
                </c:pt>
                <c:pt idx="73">
                  <c:v>0.98991421977311145</c:v>
                </c:pt>
                <c:pt idx="74">
                  <c:v>0.98977862437303954</c:v>
                </c:pt>
                <c:pt idx="75">
                  <c:v>0.98964304754640775</c:v>
                </c:pt>
                <c:pt idx="76">
                  <c:v>0.989507489290672</c:v>
                </c:pt>
                <c:pt idx="77">
                  <c:v>0.98937194960328845</c:v>
                </c:pt>
                <c:pt idx="78">
                  <c:v>0.98923642848171378</c:v>
                </c:pt>
                <c:pt idx="79">
                  <c:v>0.98910092592340471</c:v>
                </c:pt>
                <c:pt idx="80">
                  <c:v>0.9889654419258187</c:v>
                </c:pt>
                <c:pt idx="81">
                  <c:v>0.98882997648641324</c:v>
                </c:pt>
                <c:pt idx="82">
                  <c:v>0.98869452960264637</c:v>
                </c:pt>
                <c:pt idx="83">
                  <c:v>0.98855910127197633</c:v>
                </c:pt>
                <c:pt idx="84">
                  <c:v>0.98842369149186182</c:v>
                </c:pt>
                <c:pt idx="85">
                  <c:v>0.98828830025976178</c:v>
                </c:pt>
                <c:pt idx="86">
                  <c:v>0.98815292757313555</c:v>
                </c:pt>
                <c:pt idx="87">
                  <c:v>0.98801757342944296</c:v>
                </c:pt>
                <c:pt idx="88">
                  <c:v>0.98788223782614393</c:v>
                </c:pt>
                <c:pt idx="89">
                  <c:v>0.98774692076069892</c:v>
                </c:pt>
                <c:pt idx="90">
                  <c:v>0.98761162223056864</c:v>
                </c:pt>
                <c:pt idx="91">
                  <c:v>0.98747634223321412</c:v>
                </c:pt>
                <c:pt idx="92">
                  <c:v>0.98734108076609695</c:v>
                </c:pt>
                <c:pt idx="93">
                  <c:v>0.98720583782667881</c:v>
                </c:pt>
                <c:pt idx="94">
                  <c:v>0.98707061341242186</c:v>
                </c:pt>
                <c:pt idx="95">
                  <c:v>0.98693540752078845</c:v>
                </c:pt>
                <c:pt idx="96">
                  <c:v>0.98680022014924174</c:v>
                </c:pt>
                <c:pt idx="97">
                  <c:v>0.98666505129524451</c:v>
                </c:pt>
                <c:pt idx="98">
                  <c:v>0.98652990095626059</c:v>
                </c:pt>
                <c:pt idx="99">
                  <c:v>0.98639476912975366</c:v>
                </c:pt>
                <c:pt idx="100">
                  <c:v>0.98625965581318809</c:v>
                </c:pt>
                <c:pt idx="101">
                  <c:v>0.98612456100402823</c:v>
                </c:pt>
                <c:pt idx="102">
                  <c:v>0.98598948469973924</c:v>
                </c:pt>
                <c:pt idx="103">
                  <c:v>0.98585442689778624</c:v>
                </c:pt>
                <c:pt idx="104">
                  <c:v>0.98571938759563482</c:v>
                </c:pt>
                <c:pt idx="105">
                  <c:v>0.98558436679075101</c:v>
                </c:pt>
                <c:pt idx="106">
                  <c:v>0.98544936448060105</c:v>
                </c:pt>
                <c:pt idx="107">
                  <c:v>0.98531438066265165</c:v>
                </c:pt>
                <c:pt idx="108">
                  <c:v>0.98517941533436981</c:v>
                </c:pt>
                <c:pt idx="109">
                  <c:v>0.98504446849322269</c:v>
                </c:pt>
                <c:pt idx="110">
                  <c:v>0.9849095401366782</c:v>
                </c:pt>
                <c:pt idx="111">
                  <c:v>0.98477463026220435</c:v>
                </c:pt>
                <c:pt idx="112">
                  <c:v>0.98463973886726941</c:v>
                </c:pt>
                <c:pt idx="113">
                  <c:v>0.98450486594934228</c:v>
                </c:pt>
                <c:pt idx="114">
                  <c:v>0.98437001150589176</c:v>
                </c:pt>
                <c:pt idx="115">
                  <c:v>0.98423517553438755</c:v>
                </c:pt>
                <c:pt idx="116">
                  <c:v>0.98410035803229934</c:v>
                </c:pt>
                <c:pt idx="117">
                  <c:v>0.98396555899709714</c:v>
                </c:pt>
                <c:pt idx="118">
                  <c:v>0.98383077842625144</c:v>
                </c:pt>
                <c:pt idx="119">
                  <c:v>0.98369601631723325</c:v>
                </c:pt>
                <c:pt idx="120">
                  <c:v>0.98356127266751348</c:v>
                </c:pt>
                <c:pt idx="121">
                  <c:v>0.98342654747456371</c:v>
                </c:pt>
                <c:pt idx="122">
                  <c:v>0.98329184073585585</c:v>
                </c:pt>
                <c:pt idx="123">
                  <c:v>0.98315715244886204</c:v>
                </c:pt>
                <c:pt idx="124">
                  <c:v>0.98302248261105485</c:v>
                </c:pt>
                <c:pt idx="125">
                  <c:v>0.98288783121990708</c:v>
                </c:pt>
                <c:pt idx="126">
                  <c:v>0.98275319827289209</c:v>
                </c:pt>
                <c:pt idx="127">
                  <c:v>0.98261858376748346</c:v>
                </c:pt>
                <c:pt idx="128">
                  <c:v>0.98248398770115497</c:v>
                </c:pt>
                <c:pt idx="129">
                  <c:v>0.98234941007138099</c:v>
                </c:pt>
                <c:pt idx="130">
                  <c:v>0.98221485087563609</c:v>
                </c:pt>
                <c:pt idx="131">
                  <c:v>0.9820803101113954</c:v>
                </c:pt>
                <c:pt idx="132">
                  <c:v>0.98194578777613395</c:v>
                </c:pt>
                <c:pt idx="133">
                  <c:v>0.98181128386732763</c:v>
                </c:pt>
                <c:pt idx="134">
                  <c:v>0.98167679838245236</c:v>
                </c:pt>
                <c:pt idx="135">
                  <c:v>0.98154233131898438</c:v>
                </c:pt>
                <c:pt idx="136">
                  <c:v>0.9814078826744006</c:v>
                </c:pt>
                <c:pt idx="137">
                  <c:v>0.98127345244617792</c:v>
                </c:pt>
                <c:pt idx="138">
                  <c:v>0.98113904063179369</c:v>
                </c:pt>
                <c:pt idx="139">
                  <c:v>0.98100464722872571</c:v>
                </c:pt>
                <c:pt idx="140">
                  <c:v>0.98087027223445211</c:v>
                </c:pt>
                <c:pt idx="141">
                  <c:v>0.98073591564645124</c:v>
                </c:pt>
                <c:pt idx="142">
                  <c:v>0.98060157746220178</c:v>
                </c:pt>
                <c:pt idx="143">
                  <c:v>0.98046725767918297</c:v>
                </c:pt>
                <c:pt idx="144">
                  <c:v>0.98033295629487416</c:v>
                </c:pt>
                <c:pt idx="145">
                  <c:v>0.98019867330675525</c:v>
                </c:pt>
                <c:pt idx="146">
                  <c:v>0.98006440871230638</c:v>
                </c:pt>
                <c:pt idx="147">
                  <c:v>0.979930162509008</c:v>
                </c:pt>
                <c:pt idx="148">
                  <c:v>0.97979593469434101</c:v>
                </c:pt>
                <c:pt idx="149">
                  <c:v>0.97966172526578643</c:v>
                </c:pt>
                <c:pt idx="150">
                  <c:v>0.97952753422082606</c:v>
                </c:pt>
                <c:pt idx="151">
                  <c:v>0.97939336155694146</c:v>
                </c:pt>
                <c:pt idx="152">
                  <c:v>0.97925920727161508</c:v>
                </c:pt>
                <c:pt idx="153">
                  <c:v>0.97912507136232929</c:v>
                </c:pt>
                <c:pt idx="154">
                  <c:v>0.9789909538265672</c:v>
                </c:pt>
                <c:pt idx="155">
                  <c:v>0.97885685466181194</c:v>
                </c:pt>
                <c:pt idx="156">
                  <c:v>0.97872277386554718</c:v>
                </c:pt>
                <c:pt idx="157">
                  <c:v>0.97858871143525672</c:v>
                </c:pt>
                <c:pt idx="158">
                  <c:v>0.97845466736842501</c:v>
                </c:pt>
                <c:pt idx="159">
                  <c:v>0.97832064166253663</c:v>
                </c:pt>
                <c:pt idx="160">
                  <c:v>0.97818663431507646</c:v>
                </c:pt>
                <c:pt idx="161">
                  <c:v>0.97805264532352987</c:v>
                </c:pt>
                <c:pt idx="162">
                  <c:v>0.97791867468538263</c:v>
                </c:pt>
                <c:pt idx="163">
                  <c:v>0.97778472239812064</c:v>
                </c:pt>
                <c:pt idx="164">
                  <c:v>0.97765078845923026</c:v>
                </c:pt>
                <c:pt idx="165">
                  <c:v>0.97751687286619815</c:v>
                </c:pt>
                <c:pt idx="166">
                  <c:v>0.97738297561651144</c:v>
                </c:pt>
                <c:pt idx="167">
                  <c:v>0.97724909670765758</c:v>
                </c:pt>
                <c:pt idx="168">
                  <c:v>0.97711523613712403</c:v>
                </c:pt>
                <c:pt idx="169">
                  <c:v>0.97698139390239913</c:v>
                </c:pt>
                <c:pt idx="170">
                  <c:v>0.97684757000097122</c:v>
                </c:pt>
                <c:pt idx="171">
                  <c:v>0.97671376443032898</c:v>
                </c:pt>
                <c:pt idx="172">
                  <c:v>0.97657997718796163</c:v>
                </c:pt>
                <c:pt idx="173">
                  <c:v>0.97644620827135853</c:v>
                </c:pt>
                <c:pt idx="174">
                  <c:v>0.97631245767800945</c:v>
                </c:pt>
                <c:pt idx="175">
                  <c:v>0.97617872540540473</c:v>
                </c:pt>
                <c:pt idx="176">
                  <c:v>0.97604501145103462</c:v>
                </c:pt>
                <c:pt idx="177">
                  <c:v>0.97591131581238999</c:v>
                </c:pt>
                <c:pt idx="178">
                  <c:v>0.97577763848696208</c:v>
                </c:pt>
                <c:pt idx="179">
                  <c:v>0.97564397947224235</c:v>
                </c:pt>
                <c:pt idx="180">
                  <c:v>0.9755103387657228</c:v>
                </c:pt>
                <c:pt idx="181">
                  <c:v>0.97537671636489531</c:v>
                </c:pt>
                <c:pt idx="182">
                  <c:v>0.9752431122672528</c:v>
                </c:pt>
                <c:pt idx="183">
                  <c:v>0.97510952647028781</c:v>
                </c:pt>
                <c:pt idx="184">
                  <c:v>0.97497595897149392</c:v>
                </c:pt>
                <c:pt idx="185">
                  <c:v>0.97484240976836434</c:v>
                </c:pt>
                <c:pt idx="186">
                  <c:v>0.9747088788583933</c:v>
                </c:pt>
                <c:pt idx="187">
                  <c:v>0.97457536623907481</c:v>
                </c:pt>
                <c:pt idx="188">
                  <c:v>0.97444187190790366</c:v>
                </c:pt>
                <c:pt idx="189">
                  <c:v>0.97430839586237472</c:v>
                </c:pt>
                <c:pt idx="190">
                  <c:v>0.97417493809998323</c:v>
                </c:pt>
                <c:pt idx="191">
                  <c:v>0.97404149861822487</c:v>
                </c:pt>
                <c:pt idx="192">
                  <c:v>0.97390807741459562</c:v>
                </c:pt>
                <c:pt idx="193">
                  <c:v>0.97377467448659183</c:v>
                </c:pt>
                <c:pt idx="194">
                  <c:v>0.97364128983171017</c:v>
                </c:pt>
                <c:pt idx="195">
                  <c:v>0.97350792344744752</c:v>
                </c:pt>
                <c:pt idx="196">
                  <c:v>0.97337457533130134</c:v>
                </c:pt>
                <c:pt idx="197">
                  <c:v>0.97324124548076929</c:v>
                </c:pt>
                <c:pt idx="198">
                  <c:v>0.97310793389334937</c:v>
                </c:pt>
                <c:pt idx="199">
                  <c:v>0.97297464056654004</c:v>
                </c:pt>
                <c:pt idx="200">
                  <c:v>0.97284136549783995</c:v>
                </c:pt>
                <c:pt idx="201">
                  <c:v>0.97270810868474811</c:v>
                </c:pt>
                <c:pt idx="202">
                  <c:v>0.97257487012476407</c:v>
                </c:pt>
                <c:pt idx="203">
                  <c:v>0.97244164981538739</c:v>
                </c:pt>
                <c:pt idx="204">
                  <c:v>0.9723084477541184</c:v>
                </c:pt>
                <c:pt idx="205">
                  <c:v>0.97217526393845732</c:v>
                </c:pt>
                <c:pt idx="206">
                  <c:v>0.97204209836590494</c:v>
                </c:pt>
                <c:pt idx="207">
                  <c:v>0.97190895103396246</c:v>
                </c:pt>
                <c:pt idx="208">
                  <c:v>0.97177582194013135</c:v>
                </c:pt>
                <c:pt idx="209">
                  <c:v>0.97164271108191336</c:v>
                </c:pt>
                <c:pt idx="210">
                  <c:v>0.97150961845681061</c:v>
                </c:pt>
                <c:pt idx="211">
                  <c:v>0.97137654406232565</c:v>
                </c:pt>
                <c:pt idx="212">
                  <c:v>0.97124348789596116</c:v>
                </c:pt>
                <c:pt idx="213">
                  <c:v>0.97111044995522056</c:v>
                </c:pt>
                <c:pt idx="214">
                  <c:v>0.97097743023760708</c:v>
                </c:pt>
                <c:pt idx="215">
                  <c:v>0.97084442874062482</c:v>
                </c:pt>
                <c:pt idx="216">
                  <c:v>0.97071144546177779</c:v>
                </c:pt>
                <c:pt idx="217">
                  <c:v>0.97057848039857064</c:v>
                </c:pt>
                <c:pt idx="218">
                  <c:v>0.97044553354850815</c:v>
                </c:pt>
                <c:pt idx="219">
                  <c:v>0.97031260490909566</c:v>
                </c:pt>
                <c:pt idx="220">
                  <c:v>0.97017969447783869</c:v>
                </c:pt>
                <c:pt idx="221">
                  <c:v>0.97004680225224305</c:v>
                </c:pt>
                <c:pt idx="222">
                  <c:v>0.96991392822981504</c:v>
                </c:pt>
                <c:pt idx="223">
                  <c:v>0.96978107240806133</c:v>
                </c:pt>
                <c:pt idx="224">
                  <c:v>0.96964823478448869</c:v>
                </c:pt>
                <c:pt idx="225">
                  <c:v>0.96951541535660457</c:v>
                </c:pt>
                <c:pt idx="226">
                  <c:v>0.9693826141219164</c:v>
                </c:pt>
                <c:pt idx="227">
                  <c:v>0.96924983107793228</c:v>
                </c:pt>
                <c:pt idx="228">
                  <c:v>0.96911706622216043</c:v>
                </c:pt>
                <c:pt idx="229">
                  <c:v>0.96898431955210951</c:v>
                </c:pt>
                <c:pt idx="230">
                  <c:v>0.96885159106528851</c:v>
                </c:pt>
                <c:pt idx="231">
                  <c:v>0.96871888075920665</c:v>
                </c:pt>
                <c:pt idx="232">
                  <c:v>0.9685861886313738</c:v>
                </c:pt>
                <c:pt idx="233">
                  <c:v>0.96845351467929963</c:v>
                </c:pt>
                <c:pt idx="234">
                  <c:v>0.9683208589004948</c:v>
                </c:pt>
                <c:pt idx="235">
                  <c:v>0.96818822129246984</c:v>
                </c:pt>
                <c:pt idx="236">
                  <c:v>0.96805560185273576</c:v>
                </c:pt>
                <c:pt idx="237">
                  <c:v>0.96792300057880398</c:v>
                </c:pt>
                <c:pt idx="238">
                  <c:v>0.96779041746818617</c:v>
                </c:pt>
                <c:pt idx="239">
                  <c:v>0.96765785251839442</c:v>
                </c:pt>
                <c:pt idx="240">
                  <c:v>0.96752530572694107</c:v>
                </c:pt>
                <c:pt idx="241">
                  <c:v>0.96739277709133875</c:v>
                </c:pt>
                <c:pt idx="242">
                  <c:v>0.96726026660910081</c:v>
                </c:pt>
                <c:pt idx="243">
                  <c:v>0.96712777427774033</c:v>
                </c:pt>
                <c:pt idx="244">
                  <c:v>0.9669953000947713</c:v>
                </c:pt>
                <c:pt idx="245">
                  <c:v>0.96686284405770773</c:v>
                </c:pt>
                <c:pt idx="246">
                  <c:v>0.96673040616406403</c:v>
                </c:pt>
                <c:pt idx="247">
                  <c:v>0.96659798641135497</c:v>
                </c:pt>
                <c:pt idx="248">
                  <c:v>0.96646558479709566</c:v>
                </c:pt>
                <c:pt idx="249">
                  <c:v>0.96633320131880163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88-4277-B56D-64878B882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416728"/>
        <c:axId val="588417120"/>
      </c:scatterChart>
      <c:valAx>
        <c:axId val="588416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417120"/>
        <c:crosses val="autoZero"/>
        <c:crossBetween val="midCat"/>
      </c:valAx>
      <c:valAx>
        <c:axId val="588417120"/>
        <c:scaling>
          <c:orientation val="minMax"/>
          <c:min val="0.95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416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447080</xdr:colOff>
      <xdr:row>8</xdr:row>
      <xdr:rowOff>150393</xdr:rowOff>
    </xdr:from>
    <xdr:to>
      <xdr:col>12</xdr:col>
      <xdr:colOff>93762</xdr:colOff>
      <xdr:row>32</xdr:row>
      <xdr:rowOff>100263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240632</xdr:colOff>
      <xdr:row>18</xdr:row>
      <xdr:rowOff>112297</xdr:rowOff>
    </xdr:from>
    <xdr:ext cx="4539916" cy="11630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240632" y="3529265"/>
              <a:ext cx="4539916" cy="1163052"/>
            </a:xfrm>
            <a:prstGeom prst="rect">
              <a:avLst/>
            </a:prstGeom>
            <a:ln w="1905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en-US" sz="1100" b="1" i="1">
                      <a:solidFill>
                        <a:srgbClr val="0000FF"/>
                      </a:solidFill>
                      <a:latin typeface="Cambria Math" panose="02040503050406030204" pitchFamily="18" charset="0"/>
                    </a:rPr>
                    <m:t>𝑻𝒂𝒔𝒌</m:t>
                  </m:r>
                  <m:r>
                    <a:rPr lang="en-US" sz="1100" b="1" i="1">
                      <a:solidFill>
                        <a:srgbClr val="0000FF"/>
                      </a:solidFill>
                      <a:latin typeface="Cambria Math" panose="02040503050406030204" pitchFamily="18" charset="0"/>
                    </a:rPr>
                    <m:t> </m:t>
                  </m:r>
                  <m:r>
                    <a:rPr lang="en-US" sz="1100" b="1" i="1">
                      <a:solidFill>
                        <a:srgbClr val="0000FF"/>
                      </a:solidFill>
                      <a:latin typeface="Cambria Math" panose="02040503050406030204" pitchFamily="18" charset="0"/>
                    </a:rPr>
                    <m:t>𝟐</m:t>
                  </m:r>
                  <m:r>
                    <a:rPr lang="en-US" sz="1100" b="1" i="1">
                      <a:solidFill>
                        <a:srgbClr val="0000FF"/>
                      </a:solidFill>
                      <a:latin typeface="Cambria Math" panose="02040503050406030204" pitchFamily="18" charset="0"/>
                    </a:rPr>
                    <m:t>:</m:t>
                  </m:r>
                </m:oMath>
              </a14:m>
              <a:r>
                <a:rPr lang="en-US" sz="1100" b="1" i="1">
                  <a:solidFill>
                    <a:srgbClr val="0000FF"/>
                  </a:solidFill>
                  <a:latin typeface="Cambria Math" panose="02040503050406030204" pitchFamily="18" charset="0"/>
                </a:rPr>
                <a:t> Completing</a:t>
              </a:r>
              <a:r>
                <a:rPr lang="en-US" sz="1100" b="1" i="1" baseline="0">
                  <a:solidFill>
                    <a:srgbClr val="0000FF"/>
                  </a:solidFill>
                  <a:latin typeface="Cambria Math" panose="02040503050406030204" pitchFamily="18" charset="0"/>
                </a:rPr>
                <a:t> time value of money table</a:t>
              </a:r>
              <a:endParaRPr lang="en-US" sz="1100" b="1" i="1">
                <a:solidFill>
                  <a:srgbClr val="0000FF"/>
                </a:solidFill>
                <a:latin typeface="Cambria Math" panose="02040503050406030204" pitchFamily="18" charset="0"/>
              </a:endParaRPr>
            </a:p>
            <a:p>
              <a:endParaRPr lang="en-US" sz="1100" b="1" i="1">
                <a:solidFill>
                  <a:srgbClr val="0000FF"/>
                </a:solidFill>
                <a:latin typeface="Cambria Math" panose="02040503050406030204" pitchFamily="18" charset="0"/>
              </a:endParaRPr>
            </a:p>
            <a:p>
              <a:r>
                <a:rPr lang="en-US" sz="1100" b="1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- Populate table with values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as shown</a:t>
              </a:r>
            </a:p>
            <a:p>
              <a:r>
                <a:rPr lang="en-US" sz="1100" b="1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- Columns D and E should represent compounding and discounting values </a:t>
              </a:r>
              <a:br>
                <a:rPr lang="en-US" sz="1100" b="1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</a:br>
              <a:r>
                <a:rPr lang="en-US" sz="1100" b="1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respectively</a:t>
              </a:r>
            </a:p>
            <a:p>
              <a:r>
                <a:rPr lang="en-US" sz="1100" b="1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- Your chart should look like that found in the next worksheet</a:t>
              </a:r>
              <a:endParaRPr lang="en-US">
                <a:effectLst/>
              </a:endParaRPr>
            </a:p>
            <a:p>
              <a:endParaRPr lang="en-US" sz="1100" b="1" i="1">
                <a:solidFill>
                  <a:srgbClr val="0000FF"/>
                </a:solidFill>
                <a:latin typeface="Cambria Math" panose="02040503050406030204" pitchFamily="18" charset="0"/>
              </a:endParaRPr>
            </a:p>
            <a:p>
              <a:endParaRPr lang="en-US" sz="1100" b="1" i="1">
                <a:solidFill>
                  <a:sysClr val="windowText" lastClr="000000"/>
                </a:solidFill>
                <a:latin typeface="Cambria Math" panose="02040503050406030204" pitchFamily="18" charset="0"/>
              </a:endParaRPr>
            </a:p>
            <a:p>
              <a:endParaRPr lang="en-US" sz="1100" b="1" i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US">
                <a:effectLst/>
              </a:endParaRPr>
            </a:p>
            <a:p>
              <a:endParaRPr lang="en-US" sz="1100" b="1" i="1">
                <a:solidFill>
                  <a:sysClr val="windowText" lastClr="000000"/>
                </a:solidFill>
                <a:latin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240632" y="3529265"/>
              <a:ext cx="4539916" cy="1163052"/>
            </a:xfrm>
            <a:prstGeom prst="rect">
              <a:avLst/>
            </a:prstGeom>
            <a:ln w="1905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1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𝑻𝒂𝒔𝒌 𝟐:</a:t>
              </a:r>
              <a:r>
                <a:rPr lang="en-US" sz="1100" b="1" i="1">
                  <a:solidFill>
                    <a:srgbClr val="0000FF"/>
                  </a:solidFill>
                  <a:latin typeface="Cambria Math" panose="02040503050406030204" pitchFamily="18" charset="0"/>
                </a:rPr>
                <a:t> Completing</a:t>
              </a:r>
              <a:r>
                <a:rPr lang="en-US" sz="1100" b="1" i="1" baseline="0">
                  <a:solidFill>
                    <a:srgbClr val="0000FF"/>
                  </a:solidFill>
                  <a:latin typeface="Cambria Math" panose="02040503050406030204" pitchFamily="18" charset="0"/>
                </a:rPr>
                <a:t> time value of money table</a:t>
              </a:r>
              <a:endParaRPr lang="en-US" sz="1100" b="1" i="1">
                <a:solidFill>
                  <a:srgbClr val="0000FF"/>
                </a:solidFill>
                <a:latin typeface="Cambria Math" panose="02040503050406030204" pitchFamily="18" charset="0"/>
              </a:endParaRPr>
            </a:p>
            <a:p>
              <a:endParaRPr lang="en-US" sz="1100" b="1" i="1">
                <a:solidFill>
                  <a:srgbClr val="0000FF"/>
                </a:solidFill>
                <a:latin typeface="Cambria Math" panose="02040503050406030204" pitchFamily="18" charset="0"/>
              </a:endParaRPr>
            </a:p>
            <a:p>
              <a:r>
                <a:rPr lang="en-US" sz="1100" b="1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- Populate table with values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as shown</a:t>
              </a:r>
            </a:p>
            <a:p>
              <a:r>
                <a:rPr lang="en-US" sz="1100" b="1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- Columns D and E should represent compounding and discounting values </a:t>
              </a:r>
              <a:br>
                <a:rPr lang="en-US" sz="1100" b="1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</a:br>
              <a:r>
                <a:rPr lang="en-US" sz="1100" b="1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respectively</a:t>
              </a:r>
            </a:p>
            <a:p>
              <a:r>
                <a:rPr lang="en-US" sz="1100" b="1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- Your chart should look like that found in the next worksheet</a:t>
              </a:r>
              <a:endParaRPr lang="en-US">
                <a:effectLst/>
              </a:endParaRPr>
            </a:p>
            <a:p>
              <a:endParaRPr lang="en-US" sz="1100" b="1" i="1">
                <a:solidFill>
                  <a:srgbClr val="0000FF"/>
                </a:solidFill>
                <a:latin typeface="Cambria Math" panose="02040503050406030204" pitchFamily="18" charset="0"/>
              </a:endParaRPr>
            </a:p>
            <a:p>
              <a:endParaRPr lang="en-US" sz="1100" b="1" i="1">
                <a:solidFill>
                  <a:sysClr val="windowText" lastClr="000000"/>
                </a:solidFill>
                <a:latin typeface="Cambria Math" panose="02040503050406030204" pitchFamily="18" charset="0"/>
              </a:endParaRPr>
            </a:p>
            <a:p>
              <a:endParaRPr lang="en-US" sz="1100" b="1" i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US">
                <a:effectLst/>
              </a:endParaRPr>
            </a:p>
            <a:p>
              <a:endParaRPr lang="en-US" sz="1100" b="1" i="1">
                <a:solidFill>
                  <a:sysClr val="windowText" lastClr="000000"/>
                </a:solidFill>
                <a:latin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350520</xdr:colOff>
          <xdr:row>3</xdr:row>
          <xdr:rowOff>76200</xdr:rowOff>
        </xdr:from>
        <xdr:to>
          <xdr:col>9</xdr:col>
          <xdr:colOff>487680</xdr:colOff>
          <xdr:row>4</xdr:row>
          <xdr:rowOff>91440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0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5</xdr:row>
          <xdr:rowOff>0</xdr:rowOff>
        </xdr:from>
        <xdr:to>
          <xdr:col>9</xdr:col>
          <xdr:colOff>480060</xdr:colOff>
          <xdr:row>6</xdr:row>
          <xdr:rowOff>76200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0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447080</xdr:colOff>
      <xdr:row>11</xdr:row>
      <xdr:rowOff>150393</xdr:rowOff>
    </xdr:from>
    <xdr:to>
      <xdr:col>12</xdr:col>
      <xdr:colOff>93762</xdr:colOff>
      <xdr:row>34</xdr:row>
      <xdr:rowOff>150807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6</xdr:row>
          <xdr:rowOff>106680</xdr:rowOff>
        </xdr:from>
        <xdr:to>
          <xdr:col>8</xdr:col>
          <xdr:colOff>441960</xdr:colOff>
          <xdr:row>7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297180</xdr:colOff>
          <xdr:row>8</xdr:row>
          <xdr:rowOff>91440</xdr:rowOff>
        </xdr:from>
        <xdr:to>
          <xdr:col>8</xdr:col>
          <xdr:colOff>434340</xdr:colOff>
          <xdr:row>9</xdr:row>
          <xdr:rowOff>167640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690561</xdr:colOff>
      <xdr:row>8</xdr:row>
      <xdr:rowOff>119061</xdr:rowOff>
    </xdr:from>
    <xdr:ext cx="4933951" cy="12858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690561" y="1566861"/>
              <a:ext cx="4933951" cy="1285877"/>
            </a:xfrm>
            <a:prstGeom prst="rect">
              <a:avLst/>
            </a:prstGeom>
            <a:ln w="1905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en-US" sz="1100" b="1" i="1">
                      <a:solidFill>
                        <a:srgbClr val="0000FF"/>
                      </a:solidFill>
                      <a:latin typeface="Cambria Math" panose="02040503050406030204" pitchFamily="18" charset="0"/>
                    </a:rPr>
                    <m:t>𝑻𝒂𝒔𝒌</m:t>
                  </m:r>
                  <m:r>
                    <a:rPr lang="en-US" sz="1100" b="1" i="1">
                      <a:solidFill>
                        <a:srgbClr val="0000FF"/>
                      </a:solidFill>
                      <a:latin typeface="Cambria Math" panose="02040503050406030204" pitchFamily="18" charset="0"/>
                    </a:rPr>
                    <m:t> </m:t>
                  </m:r>
                  <m:r>
                    <a:rPr lang="en-US" sz="1100" b="1" i="1">
                      <a:solidFill>
                        <a:srgbClr val="0000FF"/>
                      </a:solidFill>
                      <a:latin typeface="Cambria Math" panose="02040503050406030204" pitchFamily="18" charset="0"/>
                    </a:rPr>
                    <m:t>𝟏</m:t>
                  </m:r>
                  <m:r>
                    <a:rPr lang="en-US" sz="1100" b="1" i="1">
                      <a:solidFill>
                        <a:srgbClr val="0000FF"/>
                      </a:solidFill>
                      <a:latin typeface="Cambria Math" panose="02040503050406030204" pitchFamily="18" charset="0"/>
                    </a:rPr>
                    <m:t>:</m:t>
                  </m:r>
                </m:oMath>
              </a14:m>
              <a:r>
                <a:rPr lang="en-US" sz="1100" b="1" i="1">
                  <a:solidFill>
                    <a:srgbClr val="0000FF"/>
                  </a:solidFill>
                  <a:latin typeface="+mn-lt"/>
                </a:rPr>
                <a:t> Determining commission</a:t>
              </a:r>
            </a:p>
            <a:p>
              <a:r>
                <a:rPr lang="en-US" sz="1100" b="0" i="0">
                  <a:solidFill>
                    <a:sysClr val="windowText" lastClr="000000"/>
                  </a:solidFill>
                  <a:latin typeface="+mn-lt"/>
                  <a:cs typeface="Arial" panose="020B0604020202020204" pitchFamily="34" charset="0"/>
                </a:rPr>
                <a:t>- Cells</a:t>
              </a:r>
              <a:r>
                <a:rPr lang="en-US" sz="1100" b="0" i="0" baseline="0">
                  <a:solidFill>
                    <a:sysClr val="windowText" lastClr="000000"/>
                  </a:solidFill>
                  <a:latin typeface="+mn-lt"/>
                  <a:cs typeface="Arial" panose="020B0604020202020204" pitchFamily="34" charset="0"/>
                </a:rPr>
                <a:t> A1:C6 reflects a commission matrix based on sales</a:t>
              </a:r>
              <a:endParaRPr lang="en-US" sz="1100" b="0" i="0">
                <a:solidFill>
                  <a:sysClr val="windowText" lastClr="000000"/>
                </a:solidFill>
                <a:latin typeface="+mn-lt"/>
                <a:cs typeface="Arial" panose="020B0604020202020204" pitchFamily="34" charset="0"/>
              </a:endParaRPr>
            </a:p>
            <a:p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- Develop a UDF that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captures the commission tied to current sales in E3 - </a:t>
              </a:r>
              <a:br>
                <a:rPr lang="en-US" sz="11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</a:br>
              <a:r>
                <a:rPr lang="en-US" sz="11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call your UDF in cell E6</a:t>
              </a:r>
            </a:p>
            <a:p>
              <a:r>
                <a:rPr lang="en-US" sz="11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- 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Develop a UDF that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captures the commission tied to current sales in G3.</a:t>
              </a:r>
              <a:br>
                <a:rPr lang="en-US" sz="11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</a:br>
              <a:r>
                <a:rPr lang="en-US" sz="11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However this time include an incentive such that 1% (commission) is added for </a:t>
              </a:r>
              <a:br>
                <a:rPr lang="en-US" sz="11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</a:br>
              <a:r>
                <a:rPr lang="en-US" sz="11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each additional year the employee has worked for the firm - call your UDF in cell G6</a:t>
              </a:r>
              <a:endParaRPr lang="en-US" b="0">
                <a:effectLst/>
                <a:latin typeface="+mn-lt"/>
              </a:endParaRPr>
            </a:p>
            <a:p>
              <a:endParaRPr lang="en-US" sz="1100" b="1" i="1">
                <a:solidFill>
                  <a:srgbClr val="0000FF"/>
                </a:solidFill>
                <a:latin typeface="+mn-lt"/>
              </a:endParaRPr>
            </a:p>
            <a:p>
              <a:endParaRPr lang="en-US" sz="1100" b="1" i="1">
                <a:solidFill>
                  <a:sysClr val="windowText" lastClr="000000"/>
                </a:solidFill>
                <a:latin typeface="+mn-lt"/>
              </a:endParaRPr>
            </a:p>
            <a:p>
              <a:endParaRPr lang="en-US" sz="1100" b="1" i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US">
                <a:effectLst/>
                <a:latin typeface="+mn-lt"/>
              </a:endParaRPr>
            </a:p>
            <a:p>
              <a:endParaRPr lang="en-US" sz="1100" b="1" i="1">
                <a:solidFill>
                  <a:sysClr val="windowText" lastClr="000000"/>
                </a:solidFill>
                <a:latin typeface="+mn-lt"/>
              </a:endParaRPr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690561" y="1566861"/>
              <a:ext cx="4933951" cy="1285877"/>
            </a:xfrm>
            <a:prstGeom prst="rect">
              <a:avLst/>
            </a:prstGeom>
            <a:ln w="1905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100" b="1" i="0">
                  <a:solidFill>
                    <a:srgbClr val="0000FF"/>
                  </a:solidFill>
                  <a:latin typeface="+mn-lt"/>
                </a:rPr>
                <a:t>𝑻𝒂𝒔𝒌 𝟏:</a:t>
              </a:r>
              <a:r>
                <a:rPr lang="en-US" sz="1100" b="1" i="1">
                  <a:solidFill>
                    <a:srgbClr val="0000FF"/>
                  </a:solidFill>
                  <a:latin typeface="+mn-lt"/>
                </a:rPr>
                <a:t> Determining commission</a:t>
              </a:r>
            </a:p>
            <a:p>
              <a:r>
                <a:rPr lang="en-US" sz="1100" b="0" i="0">
                  <a:solidFill>
                    <a:sysClr val="windowText" lastClr="000000"/>
                  </a:solidFill>
                  <a:latin typeface="+mn-lt"/>
                  <a:cs typeface="Arial" panose="020B0604020202020204" pitchFamily="34" charset="0"/>
                </a:rPr>
                <a:t>- Cells</a:t>
              </a:r>
              <a:r>
                <a:rPr lang="en-US" sz="1100" b="0" i="0" baseline="0">
                  <a:solidFill>
                    <a:sysClr val="windowText" lastClr="000000"/>
                  </a:solidFill>
                  <a:latin typeface="+mn-lt"/>
                  <a:cs typeface="Arial" panose="020B0604020202020204" pitchFamily="34" charset="0"/>
                </a:rPr>
                <a:t> A1:C6 reflects a commission matrix based on sales</a:t>
              </a:r>
              <a:endParaRPr lang="en-US" sz="1100" b="0" i="0">
                <a:solidFill>
                  <a:sysClr val="windowText" lastClr="000000"/>
                </a:solidFill>
                <a:latin typeface="+mn-lt"/>
                <a:cs typeface="Arial" panose="020B0604020202020204" pitchFamily="34" charset="0"/>
              </a:endParaRPr>
            </a:p>
            <a:p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- Develop a UDF that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captures the commission tied to current sales in E3 - </a:t>
              </a:r>
              <a:br>
                <a:rPr lang="en-US" sz="11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</a:br>
              <a:r>
                <a:rPr lang="en-US" sz="11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call your UDF in cell E6</a:t>
              </a:r>
            </a:p>
            <a:p>
              <a:r>
                <a:rPr lang="en-US" sz="11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- 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Develop a UDF that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captures the commission tied to current sales in G3.</a:t>
              </a:r>
              <a:br>
                <a:rPr lang="en-US" sz="11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</a:br>
              <a:r>
                <a:rPr lang="en-US" sz="11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However this time include an incentive such that 1% (commission) is added for </a:t>
              </a:r>
              <a:br>
                <a:rPr lang="en-US" sz="11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</a:br>
              <a:r>
                <a:rPr lang="en-US" sz="11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each additional year the employee has worked for the firm - call your UDF in cell G6</a:t>
              </a:r>
              <a:endParaRPr lang="en-US" b="0">
                <a:effectLst/>
                <a:latin typeface="+mn-lt"/>
              </a:endParaRPr>
            </a:p>
            <a:p>
              <a:endParaRPr lang="en-US" sz="1100" b="1" i="1">
                <a:solidFill>
                  <a:srgbClr val="0000FF"/>
                </a:solidFill>
                <a:latin typeface="+mn-lt"/>
              </a:endParaRPr>
            </a:p>
            <a:p>
              <a:endParaRPr lang="en-US" sz="1100" b="1" i="1">
                <a:solidFill>
                  <a:sysClr val="windowText" lastClr="000000"/>
                </a:solidFill>
                <a:latin typeface="+mn-lt"/>
              </a:endParaRPr>
            </a:p>
            <a:p>
              <a:endParaRPr lang="en-US" sz="1100" b="1" i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US">
                <a:effectLst/>
                <a:latin typeface="+mn-lt"/>
              </a:endParaRPr>
            </a:p>
            <a:p>
              <a:endParaRPr lang="en-US" sz="1100" b="1" i="1">
                <a:solidFill>
                  <a:sysClr val="windowText" lastClr="000000"/>
                </a:solidFill>
                <a:latin typeface="+mn-lt"/>
              </a:endParaRP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rgb="FF00B0F0"/>
  </sheetPr>
  <dimension ref="A1:U1004"/>
  <sheetViews>
    <sheetView tabSelected="1" zoomScale="95" zoomScaleNormal="95" workbookViewId="0">
      <selection activeCell="E5" sqref="E5:E245"/>
    </sheetView>
  </sheetViews>
  <sheetFormatPr defaultRowHeight="14.4" x14ac:dyDescent="0.3"/>
  <cols>
    <col min="4" max="5" width="14" bestFit="1" customWidth="1"/>
  </cols>
  <sheetData>
    <row r="1" spans="1:21" x14ac:dyDescent="0.3">
      <c r="B1" s="2" t="s">
        <v>0</v>
      </c>
      <c r="C1" s="3">
        <v>0.05</v>
      </c>
      <c r="D1" s="14" t="s">
        <v>13</v>
      </c>
    </row>
    <row r="2" spans="1:21" ht="15" thickBot="1" x14ac:dyDescent="0.35">
      <c r="B2" s="5" t="s">
        <v>1</v>
      </c>
      <c r="C2" s="6">
        <v>365</v>
      </c>
      <c r="D2" s="7"/>
    </row>
    <row r="3" spans="1:21" ht="15" customHeight="1" x14ac:dyDescent="0.3">
      <c r="A3" s="8" t="s">
        <v>12</v>
      </c>
    </row>
    <row r="4" spans="1:21" ht="19.8" x14ac:dyDescent="0.35">
      <c r="A4" s="13" t="s">
        <v>2</v>
      </c>
      <c r="B4" s="13" t="s">
        <v>11</v>
      </c>
      <c r="C4" s="13" t="s">
        <v>10</v>
      </c>
      <c r="D4" s="12" t="s">
        <v>9</v>
      </c>
      <c r="E4" s="12" t="s">
        <v>8</v>
      </c>
    </row>
    <row r="5" spans="1:21" ht="15" customHeight="1" x14ac:dyDescent="0.3">
      <c r="A5">
        <v>1</v>
      </c>
      <c r="B5">
        <v>1</v>
      </c>
      <c r="C5">
        <f>B5/365</f>
        <v>2.7397260273972603E-3</v>
      </c>
      <c r="D5" s="11">
        <f>EXP(rate*C5)</f>
        <v>1.0001369956844217</v>
      </c>
      <c r="E5" s="11">
        <f>EXP(-rate*C5)</f>
        <v>0.99986302308082509</v>
      </c>
    </row>
    <row r="6" spans="1:21" x14ac:dyDescent="0.3">
      <c r="A6">
        <v>1</v>
      </c>
      <c r="B6">
        <v>2</v>
      </c>
      <c r="C6">
        <f t="shared" ref="C6:C69" si="0">B6/365</f>
        <v>5.4794520547945206E-3</v>
      </c>
      <c r="D6" s="11">
        <f>EXP(rate*C6)</f>
        <v>1.000274010136661</v>
      </c>
      <c r="E6" s="11">
        <f>EXP(-rate*C6)</f>
        <v>0.99972606492432659</v>
      </c>
    </row>
    <row r="7" spans="1:21" x14ac:dyDescent="0.3">
      <c r="A7">
        <v>1</v>
      </c>
      <c r="B7">
        <v>3</v>
      </c>
      <c r="C7">
        <f t="shared" si="0"/>
        <v>8.21917808219178E-3</v>
      </c>
      <c r="D7" s="11">
        <f>EXP(rate*C7)</f>
        <v>1.0004110433592888</v>
      </c>
      <c r="E7" s="11">
        <f>EXP(-rate*C7)</f>
        <v>0.99958912552793444</v>
      </c>
    </row>
    <row r="8" spans="1:21" ht="15" customHeight="1" x14ac:dyDescent="0.3">
      <c r="A8">
        <v>1</v>
      </c>
      <c r="B8">
        <v>4</v>
      </c>
      <c r="C8">
        <f t="shared" si="0"/>
        <v>1.0958904109589041E-2</v>
      </c>
      <c r="D8" s="11">
        <f>EXP(rate*C8)</f>
        <v>1.0005480953548769</v>
      </c>
      <c r="E8" s="11">
        <f>EXP(-rate*C8)</f>
        <v>0.99945220488907882</v>
      </c>
    </row>
    <row r="9" spans="1:21" x14ac:dyDescent="0.3">
      <c r="A9">
        <v>1</v>
      </c>
      <c r="B9">
        <v>5</v>
      </c>
      <c r="C9">
        <f t="shared" si="0"/>
        <v>1.3698630136986301E-2</v>
      </c>
      <c r="D9" s="11">
        <f>EXP(rate*C9)</f>
        <v>1.0006851661259968</v>
      </c>
      <c r="E9" s="11">
        <f>EXP(-rate*C9)</f>
        <v>0.99931530300519056</v>
      </c>
    </row>
    <row r="10" spans="1:21" x14ac:dyDescent="0.3">
      <c r="A10">
        <v>1</v>
      </c>
      <c r="B10">
        <v>6</v>
      </c>
      <c r="C10">
        <f t="shared" si="0"/>
        <v>1.643835616438356E-2</v>
      </c>
      <c r="D10" s="11">
        <f>EXP(rate*C10)</f>
        <v>1.0008222556752209</v>
      </c>
      <c r="E10" s="11">
        <f>EXP(-rate*C10)</f>
        <v>0.9991784198737006</v>
      </c>
      <c r="N10" s="26" t="s">
        <v>7</v>
      </c>
      <c r="O10" s="27"/>
      <c r="P10" s="27"/>
      <c r="Q10" s="27"/>
      <c r="R10" s="27"/>
      <c r="S10" s="27"/>
      <c r="T10" s="27"/>
      <c r="U10" s="27"/>
    </row>
    <row r="11" spans="1:21" x14ac:dyDescent="0.3">
      <c r="A11">
        <v>1</v>
      </c>
      <c r="B11">
        <v>7</v>
      </c>
      <c r="C11">
        <f t="shared" si="0"/>
        <v>1.9178082191780823E-2</v>
      </c>
      <c r="D11" s="11">
        <f>EXP(rate*C11)</f>
        <v>1.0009593640051215</v>
      </c>
      <c r="E11" s="11">
        <f>EXP(-rate*C11)</f>
        <v>0.99904155549204032</v>
      </c>
    </row>
    <row r="12" spans="1:21" x14ac:dyDescent="0.3">
      <c r="A12">
        <v>1</v>
      </c>
      <c r="B12">
        <v>8</v>
      </c>
      <c r="C12">
        <f t="shared" si="0"/>
        <v>2.1917808219178082E-2</v>
      </c>
      <c r="D12" s="11">
        <f>EXP(rate*C12)</f>
        <v>1.0010964911182718</v>
      </c>
      <c r="E12" s="11">
        <f>EXP(-rate*C12)</f>
        <v>0.99890470985764124</v>
      </c>
    </row>
    <row r="13" spans="1:21" x14ac:dyDescent="0.3">
      <c r="A13">
        <v>1</v>
      </c>
      <c r="B13">
        <v>9</v>
      </c>
      <c r="C13">
        <f t="shared" si="0"/>
        <v>2.4657534246575342E-2</v>
      </c>
      <c r="D13" s="11">
        <f>EXP(rate*C13)</f>
        <v>1.0012336370172445</v>
      </c>
      <c r="E13" s="11">
        <f>EXP(-rate*C13)</f>
        <v>0.99876788296793573</v>
      </c>
    </row>
    <row r="14" spans="1:21" x14ac:dyDescent="0.3">
      <c r="A14">
        <v>1</v>
      </c>
      <c r="B14">
        <v>10</v>
      </c>
      <c r="C14">
        <f t="shared" si="0"/>
        <v>2.7397260273972601E-2</v>
      </c>
      <c r="D14" s="11">
        <f>EXP(rate*C14)</f>
        <v>1.0013708017046139</v>
      </c>
      <c r="E14" s="11">
        <f>EXP(-rate*C14)</f>
        <v>0.99863107482035596</v>
      </c>
    </row>
    <row r="15" spans="1:21" x14ac:dyDescent="0.3">
      <c r="A15">
        <v>1</v>
      </c>
      <c r="B15">
        <v>11</v>
      </c>
      <c r="C15">
        <f t="shared" si="0"/>
        <v>3.0136986301369864E-2</v>
      </c>
      <c r="D15" s="11">
        <f>EXP(rate*C15)</f>
        <v>1.0015079851829534</v>
      </c>
      <c r="E15" s="11">
        <f>EXP(-rate*C15)</f>
        <v>0.99849428541233465</v>
      </c>
    </row>
    <row r="16" spans="1:21" x14ac:dyDescent="0.3">
      <c r="A16">
        <v>1</v>
      </c>
      <c r="B16">
        <v>12</v>
      </c>
      <c r="C16">
        <f t="shared" si="0"/>
        <v>3.287671232876712E-2</v>
      </c>
      <c r="D16" s="11">
        <f>EXP(rate*C16)</f>
        <v>1.0016451874548371</v>
      </c>
      <c r="E16" s="11">
        <f>EXP(-rate*C16)</f>
        <v>0.99835751474130519</v>
      </c>
    </row>
    <row r="17" spans="1:5" x14ac:dyDescent="0.3">
      <c r="A17">
        <v>1</v>
      </c>
      <c r="B17">
        <v>13</v>
      </c>
      <c r="C17">
        <f t="shared" si="0"/>
        <v>3.5616438356164383E-2</v>
      </c>
      <c r="D17" s="11">
        <f>EXP(rate*C17)</f>
        <v>1.0017824085228402</v>
      </c>
      <c r="E17" s="11">
        <f>EXP(-rate*C17)</f>
        <v>0.99822076280470085</v>
      </c>
    </row>
    <row r="18" spans="1:5" x14ac:dyDescent="0.3">
      <c r="A18">
        <v>1</v>
      </c>
      <c r="B18">
        <v>14</v>
      </c>
      <c r="C18">
        <f t="shared" si="0"/>
        <v>3.8356164383561646E-2</v>
      </c>
      <c r="D18" s="11">
        <f>EXP(rate*C18)</f>
        <v>1.0019196483895374</v>
      </c>
      <c r="E18" s="11">
        <f>EXP(-rate*C18)</f>
        <v>0.99808402959995546</v>
      </c>
    </row>
    <row r="19" spans="1:5" x14ac:dyDescent="0.3">
      <c r="A19">
        <v>1</v>
      </c>
      <c r="B19">
        <v>15</v>
      </c>
      <c r="C19">
        <f t="shared" si="0"/>
        <v>4.1095890410958902E-2</v>
      </c>
      <c r="D19" s="11">
        <f>EXP(rate*C19)</f>
        <v>1.0020569070575041</v>
      </c>
      <c r="E19" s="11">
        <f>EXP(-rate*C19)</f>
        <v>0.99794731512450319</v>
      </c>
    </row>
    <row r="20" spans="1:5" x14ac:dyDescent="0.3">
      <c r="A20">
        <v>1</v>
      </c>
      <c r="B20">
        <v>16</v>
      </c>
      <c r="C20">
        <f t="shared" si="0"/>
        <v>4.3835616438356165E-2</v>
      </c>
      <c r="D20" s="11">
        <f>EXP(rate*C20)</f>
        <v>1.0021941845293159</v>
      </c>
      <c r="E20" s="11">
        <f>EXP(-rate*C20)</f>
        <v>0.99781061937577853</v>
      </c>
    </row>
    <row r="21" spans="1:5" x14ac:dyDescent="0.3">
      <c r="A21">
        <v>1</v>
      </c>
      <c r="B21">
        <v>17</v>
      </c>
      <c r="C21">
        <f t="shared" si="0"/>
        <v>4.6575342465753428E-2</v>
      </c>
      <c r="D21" s="11">
        <f>EXP(rate*C21)</f>
        <v>1.002331480807549</v>
      </c>
      <c r="E21" s="11">
        <f>EXP(-rate*C21)</f>
        <v>0.99767394235121643</v>
      </c>
    </row>
    <row r="22" spans="1:5" x14ac:dyDescent="0.3">
      <c r="A22">
        <v>1</v>
      </c>
      <c r="B22">
        <v>18</v>
      </c>
      <c r="C22">
        <f t="shared" si="0"/>
        <v>4.9315068493150684E-2</v>
      </c>
      <c r="D22" s="11">
        <f>EXP(rate*C22)</f>
        <v>1.0024687958947796</v>
      </c>
      <c r="E22" s="11">
        <f>EXP(-rate*C22)</f>
        <v>0.99753728404825204</v>
      </c>
    </row>
    <row r="23" spans="1:5" x14ac:dyDescent="0.3">
      <c r="A23">
        <v>1</v>
      </c>
      <c r="B23">
        <v>19</v>
      </c>
      <c r="C23">
        <f t="shared" si="0"/>
        <v>5.2054794520547946E-2</v>
      </c>
      <c r="D23" s="11">
        <f>EXP(rate*C23)</f>
        <v>1.0026061297935847</v>
      </c>
      <c r="E23" s="11">
        <f>EXP(-rate*C23)</f>
        <v>0.99740064446432108</v>
      </c>
    </row>
    <row r="24" spans="1:5" x14ac:dyDescent="0.3">
      <c r="A24">
        <v>1</v>
      </c>
      <c r="B24">
        <v>20</v>
      </c>
      <c r="C24">
        <f t="shared" si="0"/>
        <v>5.4794520547945202E-2</v>
      </c>
      <c r="D24" s="11">
        <f>EXP(rate*C24)</f>
        <v>1.0027434825065411</v>
      </c>
      <c r="E24" s="11">
        <f>EXP(-rate*C24)</f>
        <v>0.99726402359685928</v>
      </c>
    </row>
    <row r="25" spans="1:5" x14ac:dyDescent="0.3">
      <c r="A25">
        <v>1</v>
      </c>
      <c r="B25">
        <v>21</v>
      </c>
      <c r="C25">
        <f t="shared" si="0"/>
        <v>5.7534246575342465E-2</v>
      </c>
      <c r="D25" s="11">
        <f>EXP(rate*C25)</f>
        <v>1.0028808540362264</v>
      </c>
      <c r="E25" s="11">
        <f>EXP(-rate*C25)</f>
        <v>0.99712742144330302</v>
      </c>
    </row>
    <row r="26" spans="1:5" x14ac:dyDescent="0.3">
      <c r="A26">
        <v>1</v>
      </c>
      <c r="B26">
        <v>22</v>
      </c>
      <c r="C26">
        <f t="shared" si="0"/>
        <v>6.0273972602739728E-2</v>
      </c>
      <c r="D26" s="11">
        <f>EXP(rate*C26)</f>
        <v>1.0030182443852185</v>
      </c>
      <c r="E26" s="11">
        <f>EXP(-rate*C26)</f>
        <v>0.9969908380010889</v>
      </c>
    </row>
    <row r="27" spans="1:5" x14ac:dyDescent="0.3">
      <c r="A27">
        <v>1</v>
      </c>
      <c r="B27">
        <v>23</v>
      </c>
      <c r="C27">
        <f t="shared" si="0"/>
        <v>6.3013698630136991E-2</v>
      </c>
      <c r="D27" s="11">
        <f>EXP(rate*C27)</f>
        <v>1.0031556535560955</v>
      </c>
      <c r="E27" s="11">
        <f>EXP(-rate*C27)</f>
        <v>0.99685427326765397</v>
      </c>
    </row>
    <row r="28" spans="1:5" x14ac:dyDescent="0.3">
      <c r="A28">
        <v>1</v>
      </c>
      <c r="B28">
        <v>24</v>
      </c>
      <c r="C28">
        <f t="shared" si="0"/>
        <v>6.575342465753424E-2</v>
      </c>
      <c r="D28" s="11">
        <f>EXP(rate*C28)</f>
        <v>1.0032930815514358</v>
      </c>
      <c r="E28" s="11">
        <f>EXP(-rate*C28)</f>
        <v>0.99671772724043539</v>
      </c>
    </row>
    <row r="29" spans="1:5" x14ac:dyDescent="0.3">
      <c r="A29">
        <v>1</v>
      </c>
      <c r="B29">
        <v>25</v>
      </c>
      <c r="C29">
        <f t="shared" si="0"/>
        <v>6.8493150684931503E-2</v>
      </c>
      <c r="D29" s="11">
        <f>EXP(rate*C29)</f>
        <v>1.0034305283738185</v>
      </c>
      <c r="E29" s="11">
        <f>EXP(-rate*C29)</f>
        <v>0.996581199916871</v>
      </c>
    </row>
    <row r="30" spans="1:5" x14ac:dyDescent="0.3">
      <c r="A30">
        <v>1</v>
      </c>
      <c r="B30">
        <v>26</v>
      </c>
      <c r="C30">
        <f t="shared" si="0"/>
        <v>7.1232876712328766E-2</v>
      </c>
      <c r="D30" s="11">
        <f>EXP(rate*C30)</f>
        <v>1.0035679940258229</v>
      </c>
      <c r="E30" s="11">
        <f>EXP(-rate*C30)</f>
        <v>0.99644469129439872</v>
      </c>
    </row>
    <row r="31" spans="1:5" x14ac:dyDescent="0.3">
      <c r="A31">
        <v>1</v>
      </c>
      <c r="B31">
        <v>27</v>
      </c>
      <c r="C31">
        <f t="shared" si="0"/>
        <v>7.3972602739726029E-2</v>
      </c>
      <c r="D31" s="11">
        <f>EXP(rate*C31)</f>
        <v>1.0037054785100281</v>
      </c>
      <c r="E31" s="11">
        <f>EXP(-rate*C31)</f>
        <v>0.99630820137045706</v>
      </c>
    </row>
    <row r="32" spans="1:5" x14ac:dyDescent="0.3">
      <c r="A32">
        <v>1</v>
      </c>
      <c r="B32">
        <v>28</v>
      </c>
      <c r="C32">
        <f t="shared" si="0"/>
        <v>7.6712328767123292E-2</v>
      </c>
      <c r="D32" s="11">
        <f>EXP(rate*C32)</f>
        <v>1.0038429818290144</v>
      </c>
      <c r="E32" s="11">
        <f>EXP(-rate*C32)</f>
        <v>0.99617173014248461</v>
      </c>
    </row>
    <row r="33" spans="1:5" x14ac:dyDescent="0.3">
      <c r="A33">
        <v>1</v>
      </c>
      <c r="B33">
        <v>29</v>
      </c>
      <c r="C33">
        <f t="shared" si="0"/>
        <v>7.9452054794520555E-2</v>
      </c>
      <c r="D33" s="11">
        <f>EXP(rate*C33)</f>
        <v>1.003980503985362</v>
      </c>
      <c r="E33" s="11">
        <f>EXP(-rate*C33)</f>
        <v>0.99603527760792065</v>
      </c>
    </row>
    <row r="34" spans="1:5" x14ac:dyDescent="0.3">
      <c r="A34">
        <v>1</v>
      </c>
      <c r="B34">
        <v>30</v>
      </c>
      <c r="C34">
        <f t="shared" si="0"/>
        <v>8.2191780821917804E-2</v>
      </c>
      <c r="D34" s="11">
        <f>EXP(rate*C34)</f>
        <v>1.0041180449816514</v>
      </c>
      <c r="E34" s="11">
        <f>EXP(-rate*C34)</f>
        <v>0.99589884376420434</v>
      </c>
    </row>
    <row r="35" spans="1:5" x14ac:dyDescent="0.3">
      <c r="A35">
        <v>1</v>
      </c>
      <c r="B35">
        <v>31</v>
      </c>
      <c r="C35">
        <f t="shared" si="0"/>
        <v>8.4931506849315067E-2</v>
      </c>
      <c r="D35" s="11">
        <f>EXP(rate*C35)</f>
        <v>1.0042556048204638</v>
      </c>
      <c r="E35" s="11">
        <f>EXP(-rate*C35)</f>
        <v>0.99576242860877573</v>
      </c>
    </row>
    <row r="36" spans="1:5" x14ac:dyDescent="0.3">
      <c r="A36">
        <v>1</v>
      </c>
      <c r="B36">
        <v>32</v>
      </c>
      <c r="C36">
        <f t="shared" si="0"/>
        <v>8.7671232876712329E-2</v>
      </c>
      <c r="D36" s="11">
        <f>EXP(rate*C36)</f>
        <v>1.0043931835043804</v>
      </c>
      <c r="E36" s="11">
        <f>EXP(-rate*C36)</f>
        <v>0.99562603213907475</v>
      </c>
    </row>
    <row r="37" spans="1:5" x14ac:dyDescent="0.3">
      <c r="A37">
        <v>1</v>
      </c>
      <c r="B37">
        <v>33</v>
      </c>
      <c r="C37">
        <f t="shared" si="0"/>
        <v>9.0410958904109592E-2</v>
      </c>
      <c r="D37" s="11">
        <f>EXP(rate*C37)</f>
        <v>1.0045307810359831</v>
      </c>
      <c r="E37" s="11">
        <f>EXP(-rate*C37)</f>
        <v>0.995489654352542</v>
      </c>
    </row>
    <row r="38" spans="1:5" x14ac:dyDescent="0.3">
      <c r="A38">
        <v>1</v>
      </c>
      <c r="B38">
        <v>34</v>
      </c>
      <c r="C38">
        <f t="shared" si="0"/>
        <v>9.3150684931506855E-2</v>
      </c>
      <c r="D38" s="11">
        <f>EXP(rate*C38)</f>
        <v>1.0046683974178539</v>
      </c>
      <c r="E38" s="11">
        <f>EXP(-rate*C38)</f>
        <v>0.99535329524661831</v>
      </c>
    </row>
    <row r="39" spans="1:5" x14ac:dyDescent="0.3">
      <c r="A39">
        <v>1</v>
      </c>
      <c r="B39">
        <v>35</v>
      </c>
      <c r="C39">
        <f t="shared" si="0"/>
        <v>9.5890410958904104E-2</v>
      </c>
      <c r="D39" s="11">
        <f>EXP(rate*C39)</f>
        <v>1.004806032652575</v>
      </c>
      <c r="E39" s="11">
        <f>EXP(-rate*C39)</f>
        <v>0.99521695481874484</v>
      </c>
    </row>
    <row r="40" spans="1:5" x14ac:dyDescent="0.3">
      <c r="A40">
        <v>1</v>
      </c>
      <c r="B40">
        <v>36</v>
      </c>
      <c r="C40">
        <f t="shared" si="0"/>
        <v>9.8630136986301367E-2</v>
      </c>
      <c r="D40" s="11">
        <f>EXP(rate*C40)</f>
        <v>1.0049436867427293</v>
      </c>
      <c r="E40" s="11">
        <f>EXP(-rate*C40)</f>
        <v>0.99508063306636318</v>
      </c>
    </row>
    <row r="41" spans="1:5" x14ac:dyDescent="0.3">
      <c r="A41">
        <v>1</v>
      </c>
      <c r="B41">
        <v>37</v>
      </c>
      <c r="C41">
        <f t="shared" si="0"/>
        <v>0.10136986301369863</v>
      </c>
      <c r="D41" s="11">
        <f>EXP(rate*C41)</f>
        <v>1.0050813596908998</v>
      </c>
      <c r="E41" s="11">
        <f>EXP(-rate*C41)</f>
        <v>0.99494432998691518</v>
      </c>
    </row>
    <row r="42" spans="1:5" x14ac:dyDescent="0.3">
      <c r="A42">
        <v>1</v>
      </c>
      <c r="B42">
        <v>38</v>
      </c>
      <c r="C42">
        <f t="shared" si="0"/>
        <v>0.10410958904109589</v>
      </c>
      <c r="D42" s="11">
        <f>EXP(rate*C42)</f>
        <v>1.0052190514996702</v>
      </c>
      <c r="E42" s="11">
        <f>EXP(-rate*C42)</f>
        <v>0.99480804557784297</v>
      </c>
    </row>
    <row r="43" spans="1:5" x14ac:dyDescent="0.3">
      <c r="A43">
        <v>1</v>
      </c>
      <c r="B43">
        <v>39</v>
      </c>
      <c r="C43">
        <f t="shared" si="0"/>
        <v>0.10684931506849316</v>
      </c>
      <c r="D43" s="11">
        <f>EXP(rate*C43)</f>
        <v>1.0053567621716242</v>
      </c>
      <c r="E43" s="11">
        <f>EXP(-rate*C43)</f>
        <v>0.99467177983658939</v>
      </c>
    </row>
    <row r="44" spans="1:5" x14ac:dyDescent="0.3">
      <c r="A44">
        <v>1</v>
      </c>
      <c r="B44">
        <v>40</v>
      </c>
      <c r="C44">
        <f t="shared" si="0"/>
        <v>0.1095890410958904</v>
      </c>
      <c r="D44" s="11">
        <f>EXP(rate*C44)</f>
        <v>1.0054944917093458</v>
      </c>
      <c r="E44" s="11">
        <f>EXP(-rate*C44)</f>
        <v>0.99453553276059714</v>
      </c>
    </row>
    <row r="45" spans="1:5" x14ac:dyDescent="0.3">
      <c r="A45">
        <v>1</v>
      </c>
      <c r="B45">
        <v>41</v>
      </c>
      <c r="C45">
        <f t="shared" si="0"/>
        <v>0.11232876712328767</v>
      </c>
      <c r="D45" s="11">
        <f>EXP(rate*C45)</f>
        <v>1.0056322401154196</v>
      </c>
      <c r="E45" s="11">
        <f>EXP(-rate*C45)</f>
        <v>0.99439930434730961</v>
      </c>
    </row>
    <row r="46" spans="1:5" x14ac:dyDescent="0.3">
      <c r="A46">
        <v>1</v>
      </c>
      <c r="B46">
        <v>42</v>
      </c>
      <c r="C46">
        <f t="shared" si="0"/>
        <v>0.11506849315068493</v>
      </c>
      <c r="D46" s="11">
        <f>EXP(rate*C46)</f>
        <v>1.0057700073924309</v>
      </c>
      <c r="E46" s="11">
        <f>EXP(-rate*C46)</f>
        <v>0.99426309459417039</v>
      </c>
    </row>
    <row r="47" spans="1:5" x14ac:dyDescent="0.3">
      <c r="A47">
        <v>1</v>
      </c>
      <c r="B47">
        <v>43</v>
      </c>
      <c r="C47">
        <f t="shared" si="0"/>
        <v>0.11780821917808219</v>
      </c>
      <c r="D47" s="11">
        <f>EXP(rate*C47)</f>
        <v>1.0059077935429643</v>
      </c>
      <c r="E47" s="11">
        <f>EXP(-rate*C47)</f>
        <v>0.99412690349862365</v>
      </c>
    </row>
    <row r="48" spans="1:5" x14ac:dyDescent="0.3">
      <c r="A48">
        <v>1</v>
      </c>
      <c r="B48">
        <v>44</v>
      </c>
      <c r="C48">
        <f t="shared" si="0"/>
        <v>0.12054794520547946</v>
      </c>
      <c r="D48" s="11">
        <f>EXP(rate*C48)</f>
        <v>1.006045598569606</v>
      </c>
      <c r="E48" s="11">
        <f>EXP(-rate*C48)</f>
        <v>0.99399073105811353</v>
      </c>
    </row>
    <row r="49" spans="1:5" x14ac:dyDescent="0.3">
      <c r="A49">
        <v>1</v>
      </c>
      <c r="B49">
        <v>45</v>
      </c>
      <c r="C49">
        <f t="shared" si="0"/>
        <v>0.12328767123287671</v>
      </c>
      <c r="D49" s="11">
        <f>EXP(rate*C49)</f>
        <v>1.0061834224749413</v>
      </c>
      <c r="E49" s="11">
        <f>EXP(-rate*C49)</f>
        <v>0.99385457727008475</v>
      </c>
    </row>
    <row r="50" spans="1:5" x14ac:dyDescent="0.3">
      <c r="A50">
        <v>1</v>
      </c>
      <c r="B50">
        <v>46</v>
      </c>
      <c r="C50">
        <f t="shared" si="0"/>
        <v>0.12602739726027398</v>
      </c>
      <c r="D50" s="11">
        <f>EXP(rate*C50)</f>
        <v>1.0063212652615572</v>
      </c>
      <c r="E50" s="11">
        <f>EXP(-rate*C50)</f>
        <v>0.99371844213198246</v>
      </c>
    </row>
    <row r="51" spans="1:5" x14ac:dyDescent="0.3">
      <c r="A51">
        <v>1</v>
      </c>
      <c r="B51">
        <v>47</v>
      </c>
      <c r="C51">
        <f t="shared" si="0"/>
        <v>0.12876712328767123</v>
      </c>
      <c r="D51" s="11">
        <f>EXP(rate*C51)</f>
        <v>1.0064591269320398</v>
      </c>
      <c r="E51" s="11">
        <f>EXP(-rate*C51)</f>
        <v>0.99358232564125193</v>
      </c>
    </row>
    <row r="52" spans="1:5" x14ac:dyDescent="0.3">
      <c r="A52">
        <v>1</v>
      </c>
      <c r="B52">
        <v>48</v>
      </c>
      <c r="C52">
        <f t="shared" si="0"/>
        <v>0.13150684931506848</v>
      </c>
      <c r="D52" s="11">
        <f>EXP(rate*C52)</f>
        <v>1.0065970074889763</v>
      </c>
      <c r="E52" s="11">
        <f>EXP(-rate*C52)</f>
        <v>0.99344622779533898</v>
      </c>
    </row>
    <row r="53" spans="1:5" x14ac:dyDescent="0.3">
      <c r="A53">
        <v>1</v>
      </c>
      <c r="B53">
        <v>49</v>
      </c>
      <c r="C53">
        <f t="shared" si="0"/>
        <v>0.13424657534246576</v>
      </c>
      <c r="D53" s="11">
        <f>EXP(rate*C53)</f>
        <v>1.006734906934954</v>
      </c>
      <c r="E53" s="11">
        <f>EXP(-rate*C53)</f>
        <v>0.99331014859168965</v>
      </c>
    </row>
    <row r="54" spans="1:5" x14ac:dyDescent="0.3">
      <c r="A54">
        <v>1</v>
      </c>
      <c r="B54">
        <v>50</v>
      </c>
      <c r="C54">
        <f t="shared" si="0"/>
        <v>0.13698630136986301</v>
      </c>
      <c r="D54" s="11">
        <f>EXP(rate*C54)</f>
        <v>1.0068728252725607</v>
      </c>
      <c r="E54" s="11">
        <f>EXP(-rate*C54)</f>
        <v>0.99317408802775042</v>
      </c>
    </row>
    <row r="55" spans="1:5" x14ac:dyDescent="0.3">
      <c r="A55">
        <v>1</v>
      </c>
      <c r="B55">
        <v>51</v>
      </c>
      <c r="C55">
        <f t="shared" si="0"/>
        <v>0.13972602739726028</v>
      </c>
      <c r="D55" s="11">
        <f>EXP(rate*C55)</f>
        <v>1.0070107625043845</v>
      </c>
      <c r="E55" s="11">
        <f>EXP(-rate*C55)</f>
        <v>0.99303804610096802</v>
      </c>
    </row>
    <row r="56" spans="1:5" x14ac:dyDescent="0.3">
      <c r="A56">
        <v>1</v>
      </c>
      <c r="B56">
        <v>52</v>
      </c>
      <c r="C56">
        <f t="shared" si="0"/>
        <v>0.14246575342465753</v>
      </c>
      <c r="D56" s="11">
        <f>EXP(rate*C56)</f>
        <v>1.0071487186330139</v>
      </c>
      <c r="E56" s="11">
        <f>EXP(-rate*C56)</f>
        <v>0.99290202280878959</v>
      </c>
    </row>
    <row r="57" spans="1:5" x14ac:dyDescent="0.3">
      <c r="A57">
        <v>1</v>
      </c>
      <c r="B57">
        <v>53</v>
      </c>
      <c r="C57">
        <f t="shared" si="0"/>
        <v>0.14520547945205478</v>
      </c>
      <c r="D57" s="11">
        <f>EXP(rate*C57)</f>
        <v>1.0072866936610374</v>
      </c>
      <c r="E57" s="11">
        <f>EXP(-rate*C57)</f>
        <v>0.99276601814866272</v>
      </c>
    </row>
    <row r="58" spans="1:5" x14ac:dyDescent="0.3">
      <c r="A58">
        <v>1</v>
      </c>
      <c r="B58">
        <v>54</v>
      </c>
      <c r="C58">
        <f t="shared" si="0"/>
        <v>0.14794520547945206</v>
      </c>
      <c r="D58" s="11">
        <f>EXP(rate*C58)</f>
        <v>1.0074246875910444</v>
      </c>
      <c r="E58" s="11">
        <f>EXP(-rate*C58)</f>
        <v>0.99263003211803524</v>
      </c>
    </row>
    <row r="59" spans="1:5" x14ac:dyDescent="0.3">
      <c r="A59">
        <v>1</v>
      </c>
      <c r="B59">
        <v>55</v>
      </c>
      <c r="C59">
        <f t="shared" si="0"/>
        <v>0.15068493150684931</v>
      </c>
      <c r="D59" s="11">
        <f>EXP(rate*C59)</f>
        <v>1.0075627004256242</v>
      </c>
      <c r="E59" s="11">
        <f>EXP(-rate*C59)</f>
        <v>0.9924940647143552</v>
      </c>
    </row>
    <row r="60" spans="1:5" x14ac:dyDescent="0.3">
      <c r="A60">
        <v>1</v>
      </c>
      <c r="B60">
        <v>56</v>
      </c>
      <c r="C60">
        <f t="shared" si="0"/>
        <v>0.15342465753424658</v>
      </c>
      <c r="D60" s="11">
        <f>EXP(rate*C60)</f>
        <v>1.0077007321673668</v>
      </c>
      <c r="E60" s="11">
        <f>EXP(-rate*C60)</f>
        <v>0.99235811593507128</v>
      </c>
    </row>
    <row r="61" spans="1:5" x14ac:dyDescent="0.3">
      <c r="A61">
        <v>1</v>
      </c>
      <c r="B61">
        <v>57</v>
      </c>
      <c r="C61">
        <f t="shared" si="0"/>
        <v>0.15616438356164383</v>
      </c>
      <c r="D61" s="11">
        <f>EXP(rate*C61)</f>
        <v>1.0078387828188624</v>
      </c>
      <c r="E61" s="11">
        <f>EXP(-rate*C61)</f>
        <v>0.99222218577763233</v>
      </c>
    </row>
    <row r="62" spans="1:5" x14ac:dyDescent="0.3">
      <c r="A62">
        <v>1</v>
      </c>
      <c r="B62">
        <v>58</v>
      </c>
      <c r="C62">
        <f t="shared" si="0"/>
        <v>0.15890410958904111</v>
      </c>
      <c r="D62" s="11">
        <f>EXP(rate*C62)</f>
        <v>1.0079768523827013</v>
      </c>
      <c r="E62" s="11">
        <f>EXP(-rate*C62)</f>
        <v>0.99208627423948748</v>
      </c>
    </row>
    <row r="63" spans="1:5" x14ac:dyDescent="0.3">
      <c r="A63">
        <v>1</v>
      </c>
      <c r="B63">
        <v>59</v>
      </c>
      <c r="C63">
        <f t="shared" si="0"/>
        <v>0.16164383561643836</v>
      </c>
      <c r="D63" s="11">
        <f>EXP(rate*C63)</f>
        <v>1.0081149408614747</v>
      </c>
      <c r="E63" s="11">
        <f>EXP(-rate*C63)</f>
        <v>0.99195038131808644</v>
      </c>
    </row>
    <row r="64" spans="1:5" x14ac:dyDescent="0.3">
      <c r="A64">
        <v>1</v>
      </c>
      <c r="B64">
        <v>60</v>
      </c>
      <c r="C64">
        <f t="shared" si="0"/>
        <v>0.16438356164383561</v>
      </c>
      <c r="D64" s="11">
        <f>EXP(rate*C64)</f>
        <v>1.0082530482577738</v>
      </c>
      <c r="E64" s="11">
        <f>EXP(-rate*C64)</f>
        <v>0.99181450701087914</v>
      </c>
    </row>
    <row r="65" spans="1:5" x14ac:dyDescent="0.3">
      <c r="A65">
        <v>1</v>
      </c>
      <c r="B65">
        <v>61</v>
      </c>
      <c r="C65">
        <f t="shared" si="0"/>
        <v>0.16712328767123288</v>
      </c>
      <c r="D65" s="11">
        <f>EXP(rate*C65)</f>
        <v>1.00839117457419</v>
      </c>
      <c r="E65" s="11">
        <f>EXP(-rate*C65)</f>
        <v>0.99167865131531585</v>
      </c>
    </row>
    <row r="66" spans="1:5" x14ac:dyDescent="0.3">
      <c r="A66">
        <v>1</v>
      </c>
      <c r="B66">
        <v>62</v>
      </c>
      <c r="C66">
        <f t="shared" si="0"/>
        <v>0.16986301369863013</v>
      </c>
      <c r="D66" s="11">
        <f>EXP(rate*C66)</f>
        <v>1.0085293198133156</v>
      </c>
      <c r="E66" s="11">
        <f>EXP(-rate*C66)</f>
        <v>0.99154281422884716</v>
      </c>
    </row>
    <row r="67" spans="1:5" x14ac:dyDescent="0.3">
      <c r="A67">
        <v>1</v>
      </c>
      <c r="B67">
        <v>63</v>
      </c>
      <c r="C67">
        <f t="shared" si="0"/>
        <v>0.17260273972602741</v>
      </c>
      <c r="D67" s="11">
        <f>EXP(rate*C67)</f>
        <v>1.0086674839777428</v>
      </c>
      <c r="E67" s="11">
        <f>EXP(-rate*C67)</f>
        <v>0.9914069957489241</v>
      </c>
    </row>
    <row r="68" spans="1:5" x14ac:dyDescent="0.3">
      <c r="A68">
        <v>1</v>
      </c>
      <c r="B68">
        <v>64</v>
      </c>
      <c r="C68">
        <f t="shared" si="0"/>
        <v>0.17534246575342466</v>
      </c>
      <c r="D68" s="11">
        <f>EXP(rate*C68)</f>
        <v>1.0088056670700642</v>
      </c>
      <c r="E68" s="11">
        <f>EXP(-rate*C68)</f>
        <v>0.99127119587299795</v>
      </c>
    </row>
    <row r="69" spans="1:5" x14ac:dyDescent="0.3">
      <c r="A69">
        <v>1</v>
      </c>
      <c r="B69">
        <v>65</v>
      </c>
      <c r="C69">
        <f t="shared" si="0"/>
        <v>0.17808219178082191</v>
      </c>
      <c r="D69" s="11">
        <f>EXP(rate*C69)</f>
        <v>1.0089438690928729</v>
      </c>
      <c r="E69" s="11">
        <f>EXP(-rate*C69)</f>
        <v>0.99113541459852039</v>
      </c>
    </row>
    <row r="70" spans="1:5" x14ac:dyDescent="0.3">
      <c r="A70">
        <v>1</v>
      </c>
      <c r="B70">
        <v>66</v>
      </c>
      <c r="C70">
        <f t="shared" ref="C70:C133" si="1">B70/365</f>
        <v>0.18082191780821918</v>
      </c>
      <c r="D70" s="11">
        <f>EXP(rate*C70)</f>
        <v>1.0090820900487625</v>
      </c>
      <c r="E70" s="11">
        <f>EXP(-rate*C70)</f>
        <v>0.99099965192294359</v>
      </c>
    </row>
    <row r="71" spans="1:5" x14ac:dyDescent="0.3">
      <c r="A71">
        <v>1</v>
      </c>
      <c r="B71">
        <v>67</v>
      </c>
      <c r="C71">
        <f t="shared" si="1"/>
        <v>0.18356164383561643</v>
      </c>
      <c r="D71" s="11">
        <f>EXP(rate*C71)</f>
        <v>1.0092203299403264</v>
      </c>
      <c r="E71" s="11">
        <f>EXP(-rate*C71)</f>
        <v>0.9908639078437198</v>
      </c>
    </row>
    <row r="72" spans="1:5" x14ac:dyDescent="0.3">
      <c r="A72">
        <v>1</v>
      </c>
      <c r="B72">
        <v>68</v>
      </c>
      <c r="C72">
        <f t="shared" si="1"/>
        <v>0.18630136986301371</v>
      </c>
      <c r="D72" s="11">
        <f>EXP(rate*C72)</f>
        <v>1.0093585887701588</v>
      </c>
      <c r="E72" s="11">
        <f>EXP(-rate*C72)</f>
        <v>0.99072818235830173</v>
      </c>
    </row>
    <row r="73" spans="1:5" x14ac:dyDescent="0.3">
      <c r="A73">
        <v>1</v>
      </c>
      <c r="B73">
        <v>69</v>
      </c>
      <c r="C73">
        <f t="shared" si="1"/>
        <v>0.18904109589041096</v>
      </c>
      <c r="D73" s="11">
        <f>EXP(rate*C73)</f>
        <v>1.0094968665408544</v>
      </c>
      <c r="E73" s="11">
        <f>EXP(-rate*C73)</f>
        <v>0.99059247546414253</v>
      </c>
    </row>
    <row r="74" spans="1:5" x14ac:dyDescent="0.3">
      <c r="A74">
        <v>1</v>
      </c>
      <c r="B74">
        <v>70</v>
      </c>
      <c r="C74">
        <f t="shared" si="1"/>
        <v>0.19178082191780821</v>
      </c>
      <c r="D74" s="11">
        <f>EXP(rate*C74)</f>
        <v>1.0096351632550076</v>
      </c>
      <c r="E74" s="11">
        <f>EXP(-rate*C74)</f>
        <v>0.99045678715869567</v>
      </c>
    </row>
    <row r="75" spans="1:5" x14ac:dyDescent="0.3">
      <c r="A75">
        <v>1</v>
      </c>
      <c r="B75">
        <v>71</v>
      </c>
      <c r="C75">
        <f t="shared" si="1"/>
        <v>0.19452054794520549</v>
      </c>
      <c r="D75" s="11">
        <f>EXP(rate*C75)</f>
        <v>1.009773478915214</v>
      </c>
      <c r="E75" s="11">
        <f>EXP(-rate*C75)</f>
        <v>0.99032111743941476</v>
      </c>
    </row>
    <row r="76" spans="1:5" x14ac:dyDescent="0.3">
      <c r="A76">
        <v>1</v>
      </c>
      <c r="B76">
        <v>72</v>
      </c>
      <c r="C76">
        <f t="shared" si="1"/>
        <v>0.19726027397260273</v>
      </c>
      <c r="D76" s="11">
        <f>EXP(rate*C76)</f>
        <v>1.0099118135240688</v>
      </c>
      <c r="E76" s="11">
        <f>EXP(-rate*C76)</f>
        <v>0.99018546630375415</v>
      </c>
    </row>
    <row r="77" spans="1:5" x14ac:dyDescent="0.3">
      <c r="A77">
        <v>1</v>
      </c>
      <c r="B77">
        <v>73</v>
      </c>
      <c r="C77">
        <f t="shared" si="1"/>
        <v>0.2</v>
      </c>
      <c r="D77" s="11">
        <f>EXP(rate*C77)</f>
        <v>1.0100501670841679</v>
      </c>
      <c r="E77" s="11">
        <f>EXP(-rate*C77)</f>
        <v>0.99004983374916811</v>
      </c>
    </row>
    <row r="78" spans="1:5" x14ac:dyDescent="0.3">
      <c r="A78">
        <v>1</v>
      </c>
      <c r="B78">
        <v>74</v>
      </c>
      <c r="C78">
        <f t="shared" si="1"/>
        <v>0.20273972602739726</v>
      </c>
      <c r="D78" s="11">
        <f>EXP(rate*C78)</f>
        <v>1.0101885395981081</v>
      </c>
      <c r="E78" s="11">
        <f>EXP(-rate*C78)</f>
        <v>0.98991421977311145</v>
      </c>
    </row>
    <row r="79" spans="1:5" x14ac:dyDescent="0.3">
      <c r="A79">
        <v>1</v>
      </c>
      <c r="B79">
        <v>75</v>
      </c>
      <c r="C79">
        <f t="shared" si="1"/>
        <v>0.20547945205479451</v>
      </c>
      <c r="D79" s="11">
        <f>EXP(rate*C79)</f>
        <v>1.0103269310684853</v>
      </c>
      <c r="E79" s="11">
        <f>EXP(-rate*C79)</f>
        <v>0.98977862437303954</v>
      </c>
    </row>
    <row r="80" spans="1:5" x14ac:dyDescent="0.3">
      <c r="A80">
        <v>1</v>
      </c>
      <c r="B80">
        <v>76</v>
      </c>
      <c r="C80">
        <f t="shared" si="1"/>
        <v>0.20821917808219179</v>
      </c>
      <c r="D80" s="11">
        <f>EXP(rate*C80)</f>
        <v>1.0104653414978966</v>
      </c>
      <c r="E80" s="11">
        <f>EXP(-rate*C80)</f>
        <v>0.98964304754640775</v>
      </c>
    </row>
    <row r="81" spans="1:5" x14ac:dyDescent="0.3">
      <c r="A81">
        <v>1</v>
      </c>
      <c r="B81">
        <v>77</v>
      </c>
      <c r="C81">
        <f t="shared" si="1"/>
        <v>0.21095890410958903</v>
      </c>
      <c r="D81" s="11">
        <f>EXP(rate*C81)</f>
        <v>1.0106037708889395</v>
      </c>
      <c r="E81" s="11">
        <f>EXP(-rate*C81)</f>
        <v>0.989507489290672</v>
      </c>
    </row>
    <row r="82" spans="1:5" x14ac:dyDescent="0.3">
      <c r="A82">
        <v>1</v>
      </c>
      <c r="B82">
        <v>78</v>
      </c>
      <c r="C82">
        <f t="shared" si="1"/>
        <v>0.21369863013698631</v>
      </c>
      <c r="D82" s="11">
        <f>EXP(rate*C82)</f>
        <v>1.0107422192442115</v>
      </c>
      <c r="E82" s="11">
        <f>EXP(-rate*C82)</f>
        <v>0.98937194960328845</v>
      </c>
    </row>
    <row r="83" spans="1:5" x14ac:dyDescent="0.3">
      <c r="A83">
        <v>1</v>
      </c>
      <c r="B83">
        <v>79</v>
      </c>
      <c r="C83">
        <f t="shared" si="1"/>
        <v>0.21643835616438356</v>
      </c>
      <c r="D83" s="11">
        <f>EXP(rate*C83)</f>
        <v>1.0108806865663109</v>
      </c>
      <c r="E83" s="11">
        <f>EXP(-rate*C83)</f>
        <v>0.98923642848171378</v>
      </c>
    </row>
    <row r="84" spans="1:5" x14ac:dyDescent="0.3">
      <c r="A84">
        <v>1</v>
      </c>
      <c r="B84">
        <v>80</v>
      </c>
      <c r="C84">
        <f t="shared" si="1"/>
        <v>0.21917808219178081</v>
      </c>
      <c r="D84" s="11">
        <f>EXP(rate*C84)</f>
        <v>1.0110191728578357</v>
      </c>
      <c r="E84" s="11">
        <f>EXP(-rate*C84)</f>
        <v>0.98910092592340471</v>
      </c>
    </row>
    <row r="85" spans="1:5" x14ac:dyDescent="0.3">
      <c r="A85">
        <v>1</v>
      </c>
      <c r="B85">
        <v>81</v>
      </c>
      <c r="C85">
        <f t="shared" si="1"/>
        <v>0.22191780821917809</v>
      </c>
      <c r="D85" s="11">
        <f>EXP(rate*C85)</f>
        <v>1.0111576781213847</v>
      </c>
      <c r="E85" s="11">
        <f>EXP(-rate*C85)</f>
        <v>0.9889654419258187</v>
      </c>
    </row>
    <row r="86" spans="1:5" x14ac:dyDescent="0.3">
      <c r="A86">
        <v>1</v>
      </c>
      <c r="B86">
        <v>82</v>
      </c>
      <c r="C86">
        <f t="shared" si="1"/>
        <v>0.22465753424657534</v>
      </c>
      <c r="D86" s="11">
        <f>EXP(rate*C86)</f>
        <v>1.0112962023595573</v>
      </c>
      <c r="E86" s="11">
        <f>EXP(-rate*C86)</f>
        <v>0.98882997648641324</v>
      </c>
    </row>
    <row r="87" spans="1:5" x14ac:dyDescent="0.3">
      <c r="A87">
        <v>1</v>
      </c>
      <c r="B87">
        <v>83</v>
      </c>
      <c r="C87">
        <f t="shared" si="1"/>
        <v>0.22739726027397261</v>
      </c>
      <c r="D87" s="11">
        <f>EXP(rate*C87)</f>
        <v>1.0114347455749526</v>
      </c>
      <c r="E87" s="11">
        <f>EXP(-rate*C87)</f>
        <v>0.98869452960264637</v>
      </c>
    </row>
    <row r="88" spans="1:5" x14ac:dyDescent="0.3">
      <c r="A88">
        <v>1</v>
      </c>
      <c r="B88">
        <v>84</v>
      </c>
      <c r="C88">
        <f t="shared" si="1"/>
        <v>0.23013698630136986</v>
      </c>
      <c r="D88" s="11">
        <f>EXP(rate*C88)</f>
        <v>1.0115733077701705</v>
      </c>
      <c r="E88" s="11">
        <f>EXP(-rate*C88)</f>
        <v>0.98855910127197633</v>
      </c>
    </row>
    <row r="89" spans="1:5" x14ac:dyDescent="0.3">
      <c r="A89">
        <v>1</v>
      </c>
      <c r="B89">
        <v>85</v>
      </c>
      <c r="C89">
        <f t="shared" si="1"/>
        <v>0.23287671232876711</v>
      </c>
      <c r="D89" s="11">
        <f>EXP(rate*C89)</f>
        <v>1.0117118889478112</v>
      </c>
      <c r="E89" s="11">
        <f>EXP(-rate*C89)</f>
        <v>0.98842369149186182</v>
      </c>
    </row>
    <row r="90" spans="1:5" x14ac:dyDescent="0.3">
      <c r="A90">
        <v>1</v>
      </c>
      <c r="B90">
        <v>86</v>
      </c>
      <c r="C90">
        <f t="shared" si="1"/>
        <v>0.23561643835616439</v>
      </c>
      <c r="D90" s="11">
        <f>EXP(rate*C90)</f>
        <v>1.0118504891104751</v>
      </c>
      <c r="E90" s="11">
        <f>EXP(-rate*C90)</f>
        <v>0.98828830025976178</v>
      </c>
    </row>
    <row r="91" spans="1:5" x14ac:dyDescent="0.3">
      <c r="A91">
        <v>1</v>
      </c>
      <c r="B91">
        <v>87</v>
      </c>
      <c r="C91">
        <f t="shared" si="1"/>
        <v>0.23835616438356164</v>
      </c>
      <c r="D91" s="11">
        <f>EXP(rate*C91)</f>
        <v>1.0119891082607633</v>
      </c>
      <c r="E91" s="11">
        <f>EXP(-rate*C91)</f>
        <v>0.98815292757313555</v>
      </c>
    </row>
    <row r="92" spans="1:5" x14ac:dyDescent="0.3">
      <c r="A92">
        <v>1</v>
      </c>
      <c r="B92">
        <v>88</v>
      </c>
      <c r="C92">
        <f t="shared" si="1"/>
        <v>0.24109589041095891</v>
      </c>
      <c r="D92" s="11">
        <f>EXP(rate*C92)</f>
        <v>1.0121277464012768</v>
      </c>
      <c r="E92" s="11">
        <f>EXP(-rate*C92)</f>
        <v>0.98801757342944296</v>
      </c>
    </row>
    <row r="93" spans="1:5" x14ac:dyDescent="0.3">
      <c r="A93">
        <v>1</v>
      </c>
      <c r="B93">
        <v>89</v>
      </c>
      <c r="C93">
        <f t="shared" si="1"/>
        <v>0.24383561643835616</v>
      </c>
      <c r="D93" s="11">
        <f>EXP(rate*C93)</f>
        <v>1.0122664035346172</v>
      </c>
      <c r="E93" s="11">
        <f>EXP(-rate*C93)</f>
        <v>0.98788223782614393</v>
      </c>
    </row>
    <row r="94" spans="1:5" x14ac:dyDescent="0.3">
      <c r="A94">
        <v>1</v>
      </c>
      <c r="B94">
        <v>90</v>
      </c>
      <c r="C94">
        <f t="shared" si="1"/>
        <v>0.24657534246575341</v>
      </c>
      <c r="D94" s="11">
        <f>EXP(rate*C94)</f>
        <v>1.0124050796633863</v>
      </c>
      <c r="E94" s="11">
        <f>EXP(-rate*C94)</f>
        <v>0.98774692076069892</v>
      </c>
    </row>
    <row r="95" spans="1:5" x14ac:dyDescent="0.3">
      <c r="A95">
        <v>1</v>
      </c>
      <c r="B95">
        <v>91</v>
      </c>
      <c r="C95">
        <f t="shared" si="1"/>
        <v>0.24931506849315069</v>
      </c>
      <c r="D95" s="11">
        <f>EXP(rate*C95)</f>
        <v>1.0125437747901869</v>
      </c>
      <c r="E95" s="11">
        <f>EXP(-rate*C95)</f>
        <v>0.98761162223056864</v>
      </c>
    </row>
    <row r="96" spans="1:5" x14ac:dyDescent="0.3">
      <c r="A96">
        <v>1</v>
      </c>
      <c r="B96">
        <v>92</v>
      </c>
      <c r="C96">
        <f t="shared" si="1"/>
        <v>0.25205479452054796</v>
      </c>
      <c r="D96" s="11">
        <f>EXP(rate*C96)</f>
        <v>1.0126824889176211</v>
      </c>
      <c r="E96" s="11">
        <f>EXP(-rate*C96)</f>
        <v>0.98747634223321412</v>
      </c>
    </row>
    <row r="97" spans="1:5" x14ac:dyDescent="0.3">
      <c r="A97">
        <v>1</v>
      </c>
      <c r="B97">
        <v>93</v>
      </c>
      <c r="C97">
        <f t="shared" si="1"/>
        <v>0.25479452054794521</v>
      </c>
      <c r="D97" s="11">
        <f>EXP(rate*C97)</f>
        <v>1.0128212220482924</v>
      </c>
      <c r="E97" s="11">
        <f>EXP(-rate*C97)</f>
        <v>0.98734108076609695</v>
      </c>
    </row>
    <row r="98" spans="1:5" x14ac:dyDescent="0.3">
      <c r="A98">
        <v>1</v>
      </c>
      <c r="B98">
        <v>94</v>
      </c>
      <c r="C98">
        <f t="shared" si="1"/>
        <v>0.25753424657534246</v>
      </c>
      <c r="D98" s="11">
        <f>EXP(rate*C98)</f>
        <v>1.0129599741848037</v>
      </c>
      <c r="E98" s="11">
        <f>EXP(-rate*C98)</f>
        <v>0.98720583782667881</v>
      </c>
    </row>
    <row r="99" spans="1:5" x14ac:dyDescent="0.3">
      <c r="A99">
        <v>1</v>
      </c>
      <c r="B99">
        <v>95</v>
      </c>
      <c r="C99">
        <f t="shared" si="1"/>
        <v>0.26027397260273971</v>
      </c>
      <c r="D99" s="11">
        <f>EXP(rate*C99)</f>
        <v>1.0130987453297589</v>
      </c>
      <c r="E99" s="11">
        <f>EXP(-rate*C99)</f>
        <v>0.98707061341242186</v>
      </c>
    </row>
    <row r="100" spans="1:5" x14ac:dyDescent="0.3">
      <c r="A100">
        <v>1</v>
      </c>
      <c r="B100">
        <v>96</v>
      </c>
      <c r="C100">
        <f t="shared" si="1"/>
        <v>0.26301369863013696</v>
      </c>
      <c r="D100" s="11">
        <f>EXP(rate*C100)</f>
        <v>1.0132375354857621</v>
      </c>
      <c r="E100" s="11">
        <f>EXP(-rate*C100)</f>
        <v>0.98693540752078845</v>
      </c>
    </row>
    <row r="101" spans="1:5" x14ac:dyDescent="0.3">
      <c r="A101">
        <v>1</v>
      </c>
      <c r="B101">
        <v>97</v>
      </c>
      <c r="C101">
        <f t="shared" si="1"/>
        <v>0.26575342465753427</v>
      </c>
      <c r="D101" s="11">
        <f>EXP(rate*C101)</f>
        <v>1.0133763446554176</v>
      </c>
      <c r="E101" s="11">
        <f>EXP(-rate*C101)</f>
        <v>0.98680022014924174</v>
      </c>
    </row>
    <row r="102" spans="1:5" x14ac:dyDescent="0.3">
      <c r="A102">
        <v>1</v>
      </c>
      <c r="B102">
        <v>98</v>
      </c>
      <c r="C102">
        <f t="shared" si="1"/>
        <v>0.26849315068493151</v>
      </c>
      <c r="D102" s="11">
        <f>EXP(rate*C102)</f>
        <v>1.0135151728413305</v>
      </c>
      <c r="E102" s="11">
        <f>EXP(-rate*C102)</f>
        <v>0.98666505129524451</v>
      </c>
    </row>
    <row r="103" spans="1:5" x14ac:dyDescent="0.3">
      <c r="A103">
        <v>1</v>
      </c>
      <c r="B103">
        <v>99</v>
      </c>
      <c r="C103">
        <f t="shared" si="1"/>
        <v>0.27123287671232876</v>
      </c>
      <c r="D103" s="11">
        <f>EXP(rate*C103)</f>
        <v>1.0136540200461057</v>
      </c>
      <c r="E103" s="11">
        <f>EXP(-rate*C103)</f>
        <v>0.98652990095626059</v>
      </c>
    </row>
    <row r="104" spans="1:5" x14ac:dyDescent="0.3">
      <c r="A104">
        <v>1</v>
      </c>
      <c r="B104">
        <v>100</v>
      </c>
      <c r="C104">
        <f t="shared" si="1"/>
        <v>0.27397260273972601</v>
      </c>
      <c r="D104" s="11">
        <f>EXP(rate*C104)</f>
        <v>1.0137928862723486</v>
      </c>
      <c r="E104" s="11">
        <f>EXP(-rate*C104)</f>
        <v>0.98639476912975366</v>
      </c>
    </row>
    <row r="105" spans="1:5" x14ac:dyDescent="0.3">
      <c r="A105">
        <v>1</v>
      </c>
      <c r="B105">
        <v>101</v>
      </c>
      <c r="C105">
        <f t="shared" si="1"/>
        <v>0.27671232876712326</v>
      </c>
      <c r="D105" s="11">
        <f>EXP(rate*C105)</f>
        <v>1.0139317715226654</v>
      </c>
      <c r="E105" s="11">
        <f>EXP(-rate*C105)</f>
        <v>0.98625965581318809</v>
      </c>
    </row>
    <row r="106" spans="1:5" x14ac:dyDescent="0.3">
      <c r="A106">
        <v>1</v>
      </c>
      <c r="B106">
        <v>102</v>
      </c>
      <c r="C106">
        <f t="shared" si="1"/>
        <v>0.27945205479452057</v>
      </c>
      <c r="D106" s="11">
        <f>EXP(rate*C106)</f>
        <v>1.014070675799662</v>
      </c>
      <c r="E106" s="11">
        <f>EXP(-rate*C106)</f>
        <v>0.98612456100402823</v>
      </c>
    </row>
    <row r="107" spans="1:5" x14ac:dyDescent="0.3">
      <c r="A107">
        <v>1</v>
      </c>
      <c r="B107">
        <v>103</v>
      </c>
      <c r="C107">
        <f t="shared" si="1"/>
        <v>0.28219178082191781</v>
      </c>
      <c r="D107" s="11">
        <f>EXP(rate*C107)</f>
        <v>1.0142095991059452</v>
      </c>
      <c r="E107" s="11">
        <f>EXP(-rate*C107)</f>
        <v>0.98598948469973924</v>
      </c>
    </row>
    <row r="108" spans="1:5" x14ac:dyDescent="0.3">
      <c r="A108">
        <v>1</v>
      </c>
      <c r="B108">
        <v>104</v>
      </c>
      <c r="C108">
        <f t="shared" si="1"/>
        <v>0.28493150684931506</v>
      </c>
      <c r="D108" s="11">
        <f>EXP(rate*C108)</f>
        <v>1.0143485414441218</v>
      </c>
      <c r="E108" s="11">
        <f>EXP(-rate*C108)</f>
        <v>0.98585442689778624</v>
      </c>
    </row>
    <row r="109" spans="1:5" x14ac:dyDescent="0.3">
      <c r="A109">
        <v>1</v>
      </c>
      <c r="B109">
        <v>105</v>
      </c>
      <c r="C109">
        <f t="shared" si="1"/>
        <v>0.28767123287671231</v>
      </c>
      <c r="D109" s="11">
        <f>EXP(rate*C109)</f>
        <v>1.014487502816799</v>
      </c>
      <c r="E109" s="11">
        <f>EXP(-rate*C109)</f>
        <v>0.98571938759563482</v>
      </c>
    </row>
    <row r="110" spans="1:5" x14ac:dyDescent="0.3">
      <c r="A110">
        <v>1</v>
      </c>
      <c r="B110">
        <v>106</v>
      </c>
      <c r="C110">
        <f t="shared" si="1"/>
        <v>0.29041095890410956</v>
      </c>
      <c r="D110" s="11">
        <f>EXP(rate*C110)</f>
        <v>1.0146264832265848</v>
      </c>
      <c r="E110" s="11">
        <f>EXP(-rate*C110)</f>
        <v>0.98558436679075101</v>
      </c>
    </row>
    <row r="111" spans="1:5" x14ac:dyDescent="0.3">
      <c r="A111">
        <v>1</v>
      </c>
      <c r="B111">
        <v>107</v>
      </c>
      <c r="C111">
        <f t="shared" si="1"/>
        <v>0.29315068493150687</v>
      </c>
      <c r="D111" s="11">
        <f>EXP(rate*C111)</f>
        <v>1.0147654826760866</v>
      </c>
      <c r="E111" s="11">
        <f>EXP(-rate*C111)</f>
        <v>0.98544936448060105</v>
      </c>
    </row>
    <row r="112" spans="1:5" x14ac:dyDescent="0.3">
      <c r="A112">
        <v>1</v>
      </c>
      <c r="B112">
        <v>108</v>
      </c>
      <c r="C112">
        <f t="shared" si="1"/>
        <v>0.29589041095890412</v>
      </c>
      <c r="D112" s="11">
        <f>EXP(rate*C112)</f>
        <v>1.0149045011679134</v>
      </c>
      <c r="E112" s="11">
        <f>EXP(-rate*C112)</f>
        <v>0.98531438066265165</v>
      </c>
    </row>
    <row r="113" spans="1:5" x14ac:dyDescent="0.3">
      <c r="A113">
        <v>1</v>
      </c>
      <c r="B113">
        <v>109</v>
      </c>
      <c r="C113">
        <f t="shared" si="1"/>
        <v>0.29863013698630136</v>
      </c>
      <c r="D113" s="11">
        <f>EXP(rate*C113)</f>
        <v>1.0150435387046735</v>
      </c>
      <c r="E113" s="11">
        <f>EXP(-rate*C113)</f>
        <v>0.9851794153343697</v>
      </c>
    </row>
    <row r="114" spans="1:5" x14ac:dyDescent="0.3">
      <c r="A114">
        <v>1</v>
      </c>
      <c r="B114">
        <v>110</v>
      </c>
      <c r="C114">
        <f t="shared" si="1"/>
        <v>0.30136986301369861</v>
      </c>
      <c r="D114" s="11">
        <f>EXP(rate*C114)</f>
        <v>1.0151825952889761</v>
      </c>
      <c r="E114" s="11">
        <f>EXP(-rate*C114)</f>
        <v>0.98504446849322269</v>
      </c>
    </row>
    <row r="115" spans="1:5" x14ac:dyDescent="0.3">
      <c r="A115">
        <v>1</v>
      </c>
      <c r="B115">
        <v>111</v>
      </c>
      <c r="C115">
        <f t="shared" si="1"/>
        <v>0.30410958904109592</v>
      </c>
      <c r="D115" s="11">
        <f>EXP(rate*C115)</f>
        <v>1.0153216709234307</v>
      </c>
      <c r="E115" s="11">
        <f>EXP(-rate*C115)</f>
        <v>0.9849095401366782</v>
      </c>
    </row>
    <row r="116" spans="1:5" x14ac:dyDescent="0.3">
      <c r="A116">
        <v>1</v>
      </c>
      <c r="B116">
        <v>112</v>
      </c>
      <c r="C116">
        <f t="shared" si="1"/>
        <v>0.30684931506849317</v>
      </c>
      <c r="D116" s="11">
        <f>EXP(rate*C116)</f>
        <v>1.0154607656106471</v>
      </c>
      <c r="E116" s="11">
        <f>EXP(-rate*C116)</f>
        <v>0.98477463026220435</v>
      </c>
    </row>
    <row r="117" spans="1:5" x14ac:dyDescent="0.3">
      <c r="A117">
        <v>1</v>
      </c>
      <c r="B117">
        <v>113</v>
      </c>
      <c r="C117">
        <f t="shared" si="1"/>
        <v>0.30958904109589042</v>
      </c>
      <c r="D117" s="11">
        <f>EXP(rate*C117)</f>
        <v>1.0155998793532353</v>
      </c>
      <c r="E117" s="11">
        <f>EXP(-rate*C117)</f>
        <v>0.98463973886726941</v>
      </c>
    </row>
    <row r="118" spans="1:5" x14ac:dyDescent="0.3">
      <c r="A118">
        <v>1</v>
      </c>
      <c r="B118">
        <v>114</v>
      </c>
      <c r="C118">
        <f t="shared" si="1"/>
        <v>0.31232876712328766</v>
      </c>
      <c r="D118" s="11">
        <f>EXP(rate*C118)</f>
        <v>1.0157390121538059</v>
      </c>
      <c r="E118" s="11">
        <f>EXP(-rate*C118)</f>
        <v>0.98450486594934228</v>
      </c>
    </row>
    <row r="119" spans="1:5" x14ac:dyDescent="0.3">
      <c r="A119">
        <v>1</v>
      </c>
      <c r="B119">
        <v>115</v>
      </c>
      <c r="C119">
        <f t="shared" si="1"/>
        <v>0.31506849315068491</v>
      </c>
      <c r="D119" s="11">
        <f>EXP(rate*C119)</f>
        <v>1.0158781640149697</v>
      </c>
      <c r="E119" s="11">
        <f>EXP(-rate*C119)</f>
        <v>0.98437001150589176</v>
      </c>
    </row>
    <row r="120" spans="1:5" x14ac:dyDescent="0.3">
      <c r="A120">
        <v>1</v>
      </c>
      <c r="B120">
        <v>116</v>
      </c>
      <c r="C120">
        <f t="shared" si="1"/>
        <v>0.31780821917808222</v>
      </c>
      <c r="D120" s="11">
        <f>EXP(rate*C120)</f>
        <v>1.016017334939338</v>
      </c>
      <c r="E120" s="11">
        <f>EXP(-rate*C120)</f>
        <v>0.98423517553438755</v>
      </c>
    </row>
    <row r="121" spans="1:5" x14ac:dyDescent="0.3">
      <c r="A121">
        <v>1</v>
      </c>
      <c r="B121">
        <v>117</v>
      </c>
      <c r="C121">
        <f t="shared" si="1"/>
        <v>0.32054794520547947</v>
      </c>
      <c r="D121" s="11">
        <f>EXP(rate*C121)</f>
        <v>1.0161565249295224</v>
      </c>
      <c r="E121" s="11">
        <f>EXP(-rate*C121)</f>
        <v>0.98410035803229934</v>
      </c>
    </row>
    <row r="122" spans="1:5" x14ac:dyDescent="0.3">
      <c r="A122">
        <v>1</v>
      </c>
      <c r="B122">
        <v>118</v>
      </c>
      <c r="C122">
        <f t="shared" si="1"/>
        <v>0.32328767123287672</v>
      </c>
      <c r="D122" s="11">
        <f>EXP(rate*C122)</f>
        <v>1.0162957339881347</v>
      </c>
      <c r="E122" s="11">
        <f>EXP(-rate*C122)</f>
        <v>0.98396555899709714</v>
      </c>
    </row>
    <row r="123" spans="1:5" x14ac:dyDescent="0.3">
      <c r="A123">
        <v>1</v>
      </c>
      <c r="B123">
        <v>119</v>
      </c>
      <c r="C123">
        <f t="shared" si="1"/>
        <v>0.32602739726027397</v>
      </c>
      <c r="D123" s="11">
        <f>EXP(rate*C123)</f>
        <v>1.0164349621177873</v>
      </c>
      <c r="E123" s="11">
        <f>EXP(-rate*C123)</f>
        <v>0.98383077842625144</v>
      </c>
    </row>
    <row r="124" spans="1:5" x14ac:dyDescent="0.3">
      <c r="A124">
        <v>1</v>
      </c>
      <c r="B124">
        <v>120</v>
      </c>
      <c r="C124">
        <f t="shared" si="1"/>
        <v>0.32876712328767121</v>
      </c>
      <c r="D124" s="11">
        <f>EXP(rate*C124)</f>
        <v>1.0165742093210925</v>
      </c>
      <c r="E124" s="11">
        <f>EXP(-rate*C124)</f>
        <v>0.98369601631723325</v>
      </c>
    </row>
    <row r="125" spans="1:5" x14ac:dyDescent="0.3">
      <c r="A125">
        <v>1</v>
      </c>
      <c r="B125">
        <v>121</v>
      </c>
      <c r="C125">
        <f t="shared" si="1"/>
        <v>0.33150684931506852</v>
      </c>
      <c r="D125" s="11">
        <f>EXP(rate*C125)</f>
        <v>1.0167134756006639</v>
      </c>
      <c r="E125" s="11">
        <f>EXP(-rate*C125)</f>
        <v>0.98356127266751348</v>
      </c>
    </row>
    <row r="126" spans="1:5" x14ac:dyDescent="0.3">
      <c r="A126">
        <v>1</v>
      </c>
      <c r="B126">
        <v>122</v>
      </c>
      <c r="C126">
        <f t="shared" si="1"/>
        <v>0.33424657534246577</v>
      </c>
      <c r="D126" s="11">
        <f>EXP(rate*C126)</f>
        <v>1.0168527609591147</v>
      </c>
      <c r="E126" s="11">
        <f>EXP(-rate*C126)</f>
        <v>0.98342654747456371</v>
      </c>
    </row>
    <row r="127" spans="1:5" x14ac:dyDescent="0.3">
      <c r="A127">
        <v>1</v>
      </c>
      <c r="B127">
        <v>123</v>
      </c>
      <c r="C127">
        <f t="shared" si="1"/>
        <v>0.33698630136986302</v>
      </c>
      <c r="D127" s="11">
        <f>EXP(rate*C127)</f>
        <v>1.0169920653990583</v>
      </c>
      <c r="E127" s="11">
        <f>EXP(-rate*C127)</f>
        <v>0.98329184073585585</v>
      </c>
    </row>
    <row r="128" spans="1:5" x14ac:dyDescent="0.3">
      <c r="A128">
        <v>1</v>
      </c>
      <c r="B128">
        <v>124</v>
      </c>
      <c r="C128">
        <f t="shared" si="1"/>
        <v>0.33972602739726027</v>
      </c>
      <c r="D128" s="11">
        <f>EXP(rate*C128)</f>
        <v>1.0171313889231091</v>
      </c>
      <c r="E128" s="11">
        <f>EXP(-rate*C128)</f>
        <v>0.98315715244886204</v>
      </c>
    </row>
    <row r="129" spans="1:5" x14ac:dyDescent="0.3">
      <c r="A129">
        <v>1</v>
      </c>
      <c r="B129">
        <v>125</v>
      </c>
      <c r="C129">
        <f t="shared" si="1"/>
        <v>0.34246575342465752</v>
      </c>
      <c r="D129" s="11">
        <f>EXP(rate*C129)</f>
        <v>1.0172707315338814</v>
      </c>
      <c r="E129" s="11">
        <f>EXP(-rate*C129)</f>
        <v>0.98302248261105485</v>
      </c>
    </row>
    <row r="130" spans="1:5" x14ac:dyDescent="0.3">
      <c r="A130">
        <v>1</v>
      </c>
      <c r="B130">
        <v>126</v>
      </c>
      <c r="C130">
        <f t="shared" si="1"/>
        <v>0.34520547945205482</v>
      </c>
      <c r="D130" s="11">
        <f>EXP(rate*C130)</f>
        <v>1.01741009323399</v>
      </c>
      <c r="E130" s="11">
        <f>EXP(-rate*C130)</f>
        <v>0.98288783121990708</v>
      </c>
    </row>
    <row r="131" spans="1:5" x14ac:dyDescent="0.3">
      <c r="A131">
        <v>1</v>
      </c>
      <c r="B131">
        <v>127</v>
      </c>
      <c r="C131">
        <f t="shared" si="1"/>
        <v>0.34794520547945207</v>
      </c>
      <c r="D131" s="11">
        <f>EXP(rate*C131)</f>
        <v>1.0175494740260502</v>
      </c>
      <c r="E131" s="11">
        <f>EXP(-rate*C131)</f>
        <v>0.98275319827289209</v>
      </c>
    </row>
    <row r="132" spans="1:5" x14ac:dyDescent="0.3">
      <c r="A132">
        <v>1</v>
      </c>
      <c r="B132">
        <v>128</v>
      </c>
      <c r="C132">
        <f t="shared" si="1"/>
        <v>0.35068493150684932</v>
      </c>
      <c r="D132" s="11">
        <f>EXP(rate*C132)</f>
        <v>1.0176888739126773</v>
      </c>
      <c r="E132" s="11">
        <f>EXP(-rate*C132)</f>
        <v>0.98261858376748346</v>
      </c>
    </row>
    <row r="133" spans="1:5" x14ac:dyDescent="0.3">
      <c r="A133">
        <v>1</v>
      </c>
      <c r="B133">
        <v>129</v>
      </c>
      <c r="C133">
        <f t="shared" si="1"/>
        <v>0.35342465753424657</v>
      </c>
      <c r="D133" s="11">
        <f>EXP(rate*C133)</f>
        <v>1.0178282928964872</v>
      </c>
      <c r="E133" s="11">
        <f>EXP(-rate*C133)</f>
        <v>0.98248398770115497</v>
      </c>
    </row>
    <row r="134" spans="1:5" x14ac:dyDescent="0.3">
      <c r="A134">
        <v>1</v>
      </c>
      <c r="B134">
        <v>130</v>
      </c>
      <c r="C134">
        <f t="shared" ref="C134:C197" si="2">B134/365</f>
        <v>0.35616438356164382</v>
      </c>
      <c r="D134" s="11">
        <f>EXP(rate*C134)</f>
        <v>1.0179677309800965</v>
      </c>
      <c r="E134" s="11">
        <f>EXP(-rate*C134)</f>
        <v>0.98234941007138099</v>
      </c>
    </row>
    <row r="135" spans="1:5" x14ac:dyDescent="0.3">
      <c r="A135">
        <v>1</v>
      </c>
      <c r="B135">
        <v>131</v>
      </c>
      <c r="C135">
        <f t="shared" si="2"/>
        <v>0.35890410958904112</v>
      </c>
      <c r="D135" s="11">
        <f>EXP(rate*C135)</f>
        <v>1.0181071881661212</v>
      </c>
      <c r="E135" s="11">
        <f>EXP(-rate*C135)</f>
        <v>0.98221485087563609</v>
      </c>
    </row>
    <row r="136" spans="1:5" x14ac:dyDescent="0.3">
      <c r="A136">
        <v>1</v>
      </c>
      <c r="B136">
        <v>132</v>
      </c>
      <c r="C136">
        <f t="shared" si="2"/>
        <v>0.36164383561643837</v>
      </c>
      <c r="D136" s="11">
        <f>EXP(rate*C136)</f>
        <v>1.0182466644571788</v>
      </c>
      <c r="E136" s="11">
        <f>EXP(-rate*C136)</f>
        <v>0.9820803101113954</v>
      </c>
    </row>
    <row r="137" spans="1:5" x14ac:dyDescent="0.3">
      <c r="A137">
        <v>1</v>
      </c>
      <c r="B137">
        <v>133</v>
      </c>
      <c r="C137">
        <f t="shared" si="2"/>
        <v>0.36438356164383562</v>
      </c>
      <c r="D137" s="11">
        <f>EXP(rate*C137)</f>
        <v>1.0183861598558861</v>
      </c>
      <c r="E137" s="11">
        <f>EXP(-rate*C137)</f>
        <v>0.98194578777613395</v>
      </c>
    </row>
    <row r="138" spans="1:5" x14ac:dyDescent="0.3">
      <c r="A138">
        <v>1</v>
      </c>
      <c r="B138">
        <v>134</v>
      </c>
      <c r="C138">
        <f t="shared" si="2"/>
        <v>0.36712328767123287</v>
      </c>
      <c r="D138" s="11">
        <f>EXP(rate*C138)</f>
        <v>1.0185256743648612</v>
      </c>
      <c r="E138" s="11">
        <f>EXP(-rate*C138)</f>
        <v>0.98181128386732763</v>
      </c>
    </row>
    <row r="139" spans="1:5" x14ac:dyDescent="0.3">
      <c r="A139">
        <v>1</v>
      </c>
      <c r="B139">
        <v>135</v>
      </c>
      <c r="C139">
        <f t="shared" si="2"/>
        <v>0.36986301369863012</v>
      </c>
      <c r="D139" s="11">
        <f>EXP(rate*C139)</f>
        <v>1.0186652079867218</v>
      </c>
      <c r="E139" s="11">
        <f>EXP(-rate*C139)</f>
        <v>0.98167679838245236</v>
      </c>
    </row>
    <row r="140" spans="1:5" x14ac:dyDescent="0.3">
      <c r="A140">
        <v>1</v>
      </c>
      <c r="B140">
        <v>136</v>
      </c>
      <c r="C140">
        <f t="shared" si="2"/>
        <v>0.37260273972602742</v>
      </c>
      <c r="D140" s="11">
        <f>EXP(rate*C140)</f>
        <v>1.0188047607240867</v>
      </c>
      <c r="E140" s="11">
        <f>EXP(-rate*C140)</f>
        <v>0.98154233131898438</v>
      </c>
    </row>
    <row r="141" spans="1:5" x14ac:dyDescent="0.3">
      <c r="A141">
        <v>1</v>
      </c>
      <c r="B141">
        <v>137</v>
      </c>
      <c r="C141">
        <f t="shared" si="2"/>
        <v>0.37534246575342467</v>
      </c>
      <c r="D141" s="11">
        <f>EXP(rate*C141)</f>
        <v>1.018944332579574</v>
      </c>
      <c r="E141" s="11">
        <f>EXP(-rate*C141)</f>
        <v>0.9814078826744006</v>
      </c>
    </row>
    <row r="142" spans="1:5" x14ac:dyDescent="0.3">
      <c r="A142">
        <v>1</v>
      </c>
      <c r="B142">
        <v>138</v>
      </c>
      <c r="C142">
        <f t="shared" si="2"/>
        <v>0.37808219178082192</v>
      </c>
      <c r="D142" s="11">
        <f>EXP(rate*C142)</f>
        <v>1.0190839235558034</v>
      </c>
      <c r="E142" s="11">
        <f>EXP(-rate*C142)</f>
        <v>0.98127345244617792</v>
      </c>
    </row>
    <row r="143" spans="1:5" x14ac:dyDescent="0.3">
      <c r="A143">
        <v>1</v>
      </c>
      <c r="B143">
        <v>139</v>
      </c>
      <c r="C143">
        <f t="shared" si="2"/>
        <v>0.38082191780821917</v>
      </c>
      <c r="D143" s="11">
        <f>EXP(rate*C143)</f>
        <v>1.0192235336553941</v>
      </c>
      <c r="E143" s="11">
        <f>EXP(-rate*C143)</f>
        <v>0.98113904063179369</v>
      </c>
    </row>
    <row r="144" spans="1:5" x14ac:dyDescent="0.3">
      <c r="A144">
        <v>1</v>
      </c>
      <c r="B144">
        <v>140</v>
      </c>
      <c r="C144">
        <f t="shared" si="2"/>
        <v>0.38356164383561642</v>
      </c>
      <c r="D144" s="11">
        <f>EXP(rate*C144)</f>
        <v>1.0193631628809658</v>
      </c>
      <c r="E144" s="11">
        <f>EXP(-rate*C144)</f>
        <v>0.98100464722872571</v>
      </c>
    </row>
    <row r="145" spans="1:5" x14ac:dyDescent="0.3">
      <c r="A145">
        <v>1</v>
      </c>
      <c r="B145">
        <v>141</v>
      </c>
      <c r="C145">
        <f t="shared" si="2"/>
        <v>0.38630136986301372</v>
      </c>
      <c r="D145" s="11">
        <f>EXP(rate*C145)</f>
        <v>1.019502811235139</v>
      </c>
      <c r="E145" s="11">
        <f>EXP(-rate*C145)</f>
        <v>0.98087027223445211</v>
      </c>
    </row>
    <row r="146" spans="1:5" x14ac:dyDescent="0.3">
      <c r="A146">
        <v>1</v>
      </c>
      <c r="B146">
        <v>142</v>
      </c>
      <c r="C146">
        <f t="shared" si="2"/>
        <v>0.38904109589041097</v>
      </c>
      <c r="D146" s="11">
        <f>EXP(rate*C146)</f>
        <v>1.019642478720534</v>
      </c>
      <c r="E146" s="11">
        <f>EXP(-rate*C146)</f>
        <v>0.98073591564645124</v>
      </c>
    </row>
    <row r="147" spans="1:5" x14ac:dyDescent="0.3">
      <c r="A147">
        <v>1</v>
      </c>
      <c r="B147">
        <v>143</v>
      </c>
      <c r="C147">
        <f t="shared" si="2"/>
        <v>0.39178082191780822</v>
      </c>
      <c r="D147" s="11">
        <f>EXP(rate*C147)</f>
        <v>1.0197821653397716</v>
      </c>
      <c r="E147" s="11">
        <f>EXP(-rate*C147)</f>
        <v>0.98060157746220178</v>
      </c>
    </row>
    <row r="148" spans="1:5" x14ac:dyDescent="0.3">
      <c r="A148">
        <v>1</v>
      </c>
      <c r="B148">
        <v>144</v>
      </c>
      <c r="C148">
        <f t="shared" si="2"/>
        <v>0.39452054794520547</v>
      </c>
      <c r="D148" s="11">
        <f>EXP(rate*C148)</f>
        <v>1.0199218710954734</v>
      </c>
      <c r="E148" s="11">
        <f>EXP(-rate*C148)</f>
        <v>0.98046725767918297</v>
      </c>
    </row>
    <row r="149" spans="1:5" x14ac:dyDescent="0.3">
      <c r="A149">
        <v>1</v>
      </c>
      <c r="B149">
        <v>145</v>
      </c>
      <c r="C149">
        <f t="shared" si="2"/>
        <v>0.39726027397260272</v>
      </c>
      <c r="D149" s="11">
        <f>EXP(rate*C149)</f>
        <v>1.0200615959902608</v>
      </c>
      <c r="E149" s="11">
        <f>EXP(-rate*C149)</f>
        <v>0.98033295629487416</v>
      </c>
    </row>
    <row r="150" spans="1:5" x14ac:dyDescent="0.3">
      <c r="A150">
        <v>1</v>
      </c>
      <c r="B150">
        <v>146</v>
      </c>
      <c r="C150">
        <f t="shared" si="2"/>
        <v>0.4</v>
      </c>
      <c r="D150" s="11">
        <f>EXP(rate*C150)</f>
        <v>1.0202013400267558</v>
      </c>
      <c r="E150" s="11">
        <f>EXP(-rate*C150)</f>
        <v>0.98019867330675525</v>
      </c>
    </row>
    <row r="151" spans="1:5" x14ac:dyDescent="0.3">
      <c r="A151">
        <v>1</v>
      </c>
      <c r="B151">
        <v>147</v>
      </c>
      <c r="C151">
        <f t="shared" si="2"/>
        <v>0.40273972602739727</v>
      </c>
      <c r="D151" s="11">
        <f>EXP(rate*C151)</f>
        <v>1.0203411032075806</v>
      </c>
      <c r="E151" s="11">
        <f>EXP(-rate*C151)</f>
        <v>0.98006440871230638</v>
      </c>
    </row>
    <row r="152" spans="1:5" x14ac:dyDescent="0.3">
      <c r="A152">
        <v>1</v>
      </c>
      <c r="B152">
        <v>148</v>
      </c>
      <c r="C152">
        <f t="shared" si="2"/>
        <v>0.40547945205479452</v>
      </c>
      <c r="D152" s="11">
        <f>EXP(rate*C152)</f>
        <v>1.0204808855353582</v>
      </c>
      <c r="E152" s="11">
        <f>EXP(-rate*C152)</f>
        <v>0.979930162509008</v>
      </c>
    </row>
    <row r="153" spans="1:5" x14ac:dyDescent="0.3">
      <c r="A153">
        <v>1</v>
      </c>
      <c r="B153">
        <v>149</v>
      </c>
      <c r="C153">
        <f t="shared" si="2"/>
        <v>0.40821917808219177</v>
      </c>
      <c r="D153" s="11">
        <f>EXP(rate*C153)</f>
        <v>1.0206206870127115</v>
      </c>
      <c r="E153" s="11">
        <f>EXP(-rate*C153)</f>
        <v>0.97979593469434101</v>
      </c>
    </row>
    <row r="154" spans="1:5" x14ac:dyDescent="0.3">
      <c r="A154">
        <v>1</v>
      </c>
      <c r="B154">
        <v>150</v>
      </c>
      <c r="C154">
        <f t="shared" si="2"/>
        <v>0.41095890410958902</v>
      </c>
      <c r="D154" s="11">
        <f>EXP(rate*C154)</f>
        <v>1.0207605076422637</v>
      </c>
      <c r="E154" s="11">
        <f>EXP(-rate*C154)</f>
        <v>0.97966172526578643</v>
      </c>
    </row>
    <row r="155" spans="1:5" x14ac:dyDescent="0.3">
      <c r="A155">
        <v>1</v>
      </c>
      <c r="B155">
        <v>151</v>
      </c>
      <c r="C155">
        <f t="shared" si="2"/>
        <v>0.41369863013698632</v>
      </c>
      <c r="D155" s="11">
        <f>EXP(rate*C155)</f>
        <v>1.0209003474266387</v>
      </c>
      <c r="E155" s="11">
        <f>EXP(-rate*C155)</f>
        <v>0.97952753422082606</v>
      </c>
    </row>
    <row r="156" spans="1:5" x14ac:dyDescent="0.3">
      <c r="A156">
        <v>1</v>
      </c>
      <c r="B156">
        <v>152</v>
      </c>
      <c r="C156">
        <f t="shared" si="2"/>
        <v>0.41643835616438357</v>
      </c>
      <c r="D156" s="11">
        <f>EXP(rate*C156)</f>
        <v>1.0210402063684607</v>
      </c>
      <c r="E156" s="11">
        <f>EXP(-rate*C156)</f>
        <v>0.97939336155694146</v>
      </c>
    </row>
    <row r="157" spans="1:5" x14ac:dyDescent="0.3">
      <c r="A157">
        <v>1</v>
      </c>
      <c r="B157">
        <v>153</v>
      </c>
      <c r="C157">
        <f t="shared" si="2"/>
        <v>0.41917808219178082</v>
      </c>
      <c r="D157" s="11">
        <f>EXP(rate*C157)</f>
        <v>1.0211800844703542</v>
      </c>
      <c r="E157" s="11">
        <f>EXP(-rate*C157)</f>
        <v>0.97925920727161508</v>
      </c>
    </row>
    <row r="158" spans="1:5" x14ac:dyDescent="0.3">
      <c r="A158">
        <v>1</v>
      </c>
      <c r="B158">
        <v>154</v>
      </c>
      <c r="C158">
        <f t="shared" si="2"/>
        <v>0.42191780821917807</v>
      </c>
      <c r="D158" s="11">
        <f>EXP(rate*C158)</f>
        <v>1.0213199817349441</v>
      </c>
      <c r="E158" s="11">
        <f>EXP(-rate*C158)</f>
        <v>0.97912507136232929</v>
      </c>
    </row>
    <row r="159" spans="1:5" x14ac:dyDescent="0.3">
      <c r="A159">
        <v>1</v>
      </c>
      <c r="B159">
        <v>155</v>
      </c>
      <c r="C159">
        <f t="shared" si="2"/>
        <v>0.42465753424657532</v>
      </c>
      <c r="D159" s="11">
        <f>EXP(rate*C159)</f>
        <v>1.0214598981648555</v>
      </c>
      <c r="E159" s="11">
        <f>EXP(-rate*C159)</f>
        <v>0.9789909538265672</v>
      </c>
    </row>
    <row r="160" spans="1:5" x14ac:dyDescent="0.3">
      <c r="A160">
        <v>1</v>
      </c>
      <c r="B160">
        <v>156</v>
      </c>
      <c r="C160">
        <f t="shared" si="2"/>
        <v>0.42739726027397262</v>
      </c>
      <c r="D160" s="11">
        <f>EXP(rate*C160)</f>
        <v>1.0215998337627139</v>
      </c>
      <c r="E160" s="11">
        <f>EXP(-rate*C160)</f>
        <v>0.97885685466181194</v>
      </c>
    </row>
    <row r="161" spans="1:5" x14ac:dyDescent="0.3">
      <c r="A161">
        <v>1</v>
      </c>
      <c r="B161">
        <v>157</v>
      </c>
      <c r="C161">
        <f t="shared" si="2"/>
        <v>0.43013698630136987</v>
      </c>
      <c r="D161" s="11">
        <f>EXP(rate*C161)</f>
        <v>1.0217397885311452</v>
      </c>
      <c r="E161" s="11">
        <f>EXP(-rate*C161)</f>
        <v>0.97872277386554718</v>
      </c>
    </row>
    <row r="162" spans="1:5" x14ac:dyDescent="0.3">
      <c r="A162">
        <v>1</v>
      </c>
      <c r="B162">
        <v>158</v>
      </c>
      <c r="C162">
        <f t="shared" si="2"/>
        <v>0.43287671232876712</v>
      </c>
      <c r="D162" s="11">
        <f>EXP(rate*C162)</f>
        <v>1.021879762472776</v>
      </c>
      <c r="E162" s="11">
        <f>EXP(-rate*C162)</f>
        <v>0.97858871143525672</v>
      </c>
    </row>
    <row r="163" spans="1:5" x14ac:dyDescent="0.3">
      <c r="A163">
        <v>1</v>
      </c>
      <c r="B163">
        <v>159</v>
      </c>
      <c r="C163">
        <f t="shared" si="2"/>
        <v>0.43561643835616437</v>
      </c>
      <c r="D163" s="11">
        <f>EXP(rate*C163)</f>
        <v>1.0220197555902326</v>
      </c>
      <c r="E163" s="11">
        <f>EXP(-rate*C163)</f>
        <v>0.97845466736842501</v>
      </c>
    </row>
    <row r="164" spans="1:5" x14ac:dyDescent="0.3">
      <c r="A164">
        <v>1</v>
      </c>
      <c r="B164">
        <v>160</v>
      </c>
      <c r="C164">
        <f t="shared" si="2"/>
        <v>0.43835616438356162</v>
      </c>
      <c r="D164" s="11">
        <f>EXP(rate*C164)</f>
        <v>1.022159767886142</v>
      </c>
      <c r="E164" s="11">
        <f>EXP(-rate*C164)</f>
        <v>0.97832064166253663</v>
      </c>
    </row>
    <row r="165" spans="1:5" x14ac:dyDescent="0.3">
      <c r="A165">
        <v>1</v>
      </c>
      <c r="B165">
        <v>161</v>
      </c>
      <c r="C165">
        <f t="shared" si="2"/>
        <v>0.44109589041095892</v>
      </c>
      <c r="D165" s="11">
        <f>EXP(rate*C165)</f>
        <v>1.022299799363132</v>
      </c>
      <c r="E165" s="11">
        <f>EXP(-rate*C165)</f>
        <v>0.97818663431507646</v>
      </c>
    </row>
    <row r="166" spans="1:5" x14ac:dyDescent="0.3">
      <c r="A166">
        <v>1</v>
      </c>
      <c r="B166">
        <v>162</v>
      </c>
      <c r="C166">
        <f t="shared" si="2"/>
        <v>0.44383561643835617</v>
      </c>
      <c r="D166" s="11">
        <f>EXP(rate*C166)</f>
        <v>1.0224398500238299</v>
      </c>
      <c r="E166" s="11">
        <f>EXP(-rate*C166)</f>
        <v>0.97805264532352987</v>
      </c>
    </row>
    <row r="167" spans="1:5" x14ac:dyDescent="0.3">
      <c r="A167">
        <v>1</v>
      </c>
      <c r="B167">
        <v>163</v>
      </c>
      <c r="C167">
        <f t="shared" si="2"/>
        <v>0.44657534246575342</v>
      </c>
      <c r="D167" s="11">
        <f>EXP(rate*C167)</f>
        <v>1.0225799198708638</v>
      </c>
      <c r="E167" s="11">
        <f>EXP(-rate*C167)</f>
        <v>0.97791867468538263</v>
      </c>
    </row>
    <row r="168" spans="1:5" x14ac:dyDescent="0.3">
      <c r="A168">
        <v>1</v>
      </c>
      <c r="B168">
        <v>164</v>
      </c>
      <c r="C168">
        <f t="shared" si="2"/>
        <v>0.44931506849315067</v>
      </c>
      <c r="D168" s="11">
        <f>EXP(rate*C168)</f>
        <v>1.0227200089068624</v>
      </c>
      <c r="E168" s="11">
        <f>EXP(-rate*C168)</f>
        <v>0.97778472239812064</v>
      </c>
    </row>
    <row r="169" spans="1:5" x14ac:dyDescent="0.3">
      <c r="A169">
        <v>1</v>
      </c>
      <c r="B169">
        <v>165</v>
      </c>
      <c r="C169">
        <f t="shared" si="2"/>
        <v>0.45205479452054792</v>
      </c>
      <c r="D169" s="11">
        <f>EXP(rate*C169)</f>
        <v>1.0228601171344545</v>
      </c>
      <c r="E169" s="11">
        <f>EXP(-rate*C169)</f>
        <v>0.97765078845923026</v>
      </c>
    </row>
    <row r="170" spans="1:5" x14ac:dyDescent="0.3">
      <c r="A170">
        <v>1</v>
      </c>
      <c r="B170">
        <v>166</v>
      </c>
      <c r="C170">
        <f t="shared" si="2"/>
        <v>0.45479452054794522</v>
      </c>
      <c r="D170" s="11">
        <f>EXP(rate*C170)</f>
        <v>1.0230002445562689</v>
      </c>
      <c r="E170" s="11">
        <f>EXP(-rate*C170)</f>
        <v>0.97751687286619815</v>
      </c>
    </row>
    <row r="171" spans="1:5" x14ac:dyDescent="0.3">
      <c r="A171">
        <v>1</v>
      </c>
      <c r="B171">
        <v>167</v>
      </c>
      <c r="C171">
        <f t="shared" si="2"/>
        <v>0.45753424657534247</v>
      </c>
      <c r="D171" s="11">
        <f>EXP(rate*C171)</f>
        <v>1.0231403911749355</v>
      </c>
      <c r="E171" s="11">
        <f>EXP(-rate*C171)</f>
        <v>0.97738297561651144</v>
      </c>
    </row>
    <row r="172" spans="1:5" x14ac:dyDescent="0.3">
      <c r="A172">
        <v>1</v>
      </c>
      <c r="B172">
        <v>168</v>
      </c>
      <c r="C172">
        <f t="shared" si="2"/>
        <v>0.46027397260273972</v>
      </c>
      <c r="D172" s="11">
        <f>EXP(rate*C172)</f>
        <v>1.0232805569930841</v>
      </c>
      <c r="E172" s="11">
        <f>EXP(-rate*C172)</f>
        <v>0.97724909670765758</v>
      </c>
    </row>
    <row r="173" spans="1:5" x14ac:dyDescent="0.3">
      <c r="A173">
        <v>1</v>
      </c>
      <c r="B173">
        <v>169</v>
      </c>
      <c r="C173">
        <f t="shared" si="2"/>
        <v>0.46301369863013697</v>
      </c>
      <c r="D173" s="11">
        <f>EXP(rate*C173)</f>
        <v>1.0234207420133445</v>
      </c>
      <c r="E173" s="11">
        <f>EXP(-rate*C173)</f>
        <v>0.97711523613712403</v>
      </c>
    </row>
    <row r="174" spans="1:5" x14ac:dyDescent="0.3">
      <c r="A174">
        <v>1</v>
      </c>
      <c r="B174">
        <v>170</v>
      </c>
      <c r="C174">
        <f t="shared" si="2"/>
        <v>0.46575342465753422</v>
      </c>
      <c r="D174" s="11">
        <f>EXP(rate*C174)</f>
        <v>1.0235609462383481</v>
      </c>
      <c r="E174" s="11">
        <f>EXP(-rate*C174)</f>
        <v>0.97698139390239913</v>
      </c>
    </row>
    <row r="175" spans="1:5" x14ac:dyDescent="0.3">
      <c r="A175">
        <v>1</v>
      </c>
      <c r="B175">
        <v>171</v>
      </c>
      <c r="C175">
        <f t="shared" si="2"/>
        <v>0.46849315068493153</v>
      </c>
      <c r="D175" s="11">
        <f>EXP(rate*C175)</f>
        <v>1.0237011696707254</v>
      </c>
      <c r="E175" s="11">
        <f>EXP(-rate*C175)</f>
        <v>0.97684757000097122</v>
      </c>
    </row>
    <row r="176" spans="1:5" x14ac:dyDescent="0.3">
      <c r="A176">
        <v>1</v>
      </c>
      <c r="B176">
        <v>172</v>
      </c>
      <c r="C176">
        <f t="shared" si="2"/>
        <v>0.47123287671232877</v>
      </c>
      <c r="D176" s="11">
        <f>EXP(rate*C176)</f>
        <v>1.0238414123131077</v>
      </c>
      <c r="E176" s="11">
        <f>EXP(-rate*C176)</f>
        <v>0.97671376443032898</v>
      </c>
    </row>
    <row r="177" spans="1:5" x14ac:dyDescent="0.3">
      <c r="A177">
        <v>1</v>
      </c>
      <c r="B177">
        <v>173</v>
      </c>
      <c r="C177">
        <f t="shared" si="2"/>
        <v>0.47397260273972602</v>
      </c>
      <c r="D177" s="11">
        <f>EXP(rate*C177)</f>
        <v>1.0239816741681267</v>
      </c>
      <c r="E177" s="11">
        <f>EXP(-rate*C177)</f>
        <v>0.97657997718796163</v>
      </c>
    </row>
    <row r="178" spans="1:5" x14ac:dyDescent="0.3">
      <c r="A178">
        <v>1</v>
      </c>
      <c r="B178">
        <v>174</v>
      </c>
      <c r="C178">
        <f t="shared" si="2"/>
        <v>0.47671232876712327</v>
      </c>
      <c r="D178" s="11">
        <f>EXP(rate*C178)</f>
        <v>1.0241219552384146</v>
      </c>
      <c r="E178" s="11">
        <f>EXP(-rate*C178)</f>
        <v>0.97644620827135853</v>
      </c>
    </row>
    <row r="179" spans="1:5" x14ac:dyDescent="0.3">
      <c r="A179">
        <v>1</v>
      </c>
      <c r="B179">
        <v>175</v>
      </c>
      <c r="C179">
        <f t="shared" si="2"/>
        <v>0.47945205479452052</v>
      </c>
      <c r="D179" s="11">
        <f>EXP(rate*C179)</f>
        <v>1.0242622555266039</v>
      </c>
      <c r="E179" s="11">
        <f>EXP(-rate*C179)</f>
        <v>0.97631245767800945</v>
      </c>
    </row>
    <row r="180" spans="1:5" x14ac:dyDescent="0.3">
      <c r="A180">
        <v>1</v>
      </c>
      <c r="B180">
        <v>176</v>
      </c>
      <c r="C180">
        <f t="shared" si="2"/>
        <v>0.48219178082191783</v>
      </c>
      <c r="D180" s="11">
        <f>EXP(rate*C180)</f>
        <v>1.0244025750353269</v>
      </c>
      <c r="E180" s="11">
        <f>EXP(-rate*C180)</f>
        <v>0.97617872540540473</v>
      </c>
    </row>
    <row r="181" spans="1:5" x14ac:dyDescent="0.3">
      <c r="A181">
        <v>1</v>
      </c>
      <c r="B181">
        <v>177</v>
      </c>
      <c r="C181">
        <f t="shared" si="2"/>
        <v>0.48493150684931507</v>
      </c>
      <c r="D181" s="11">
        <f>EXP(rate*C181)</f>
        <v>1.0245429137672173</v>
      </c>
      <c r="E181" s="11">
        <f>EXP(-rate*C181)</f>
        <v>0.97604501145103462</v>
      </c>
    </row>
    <row r="182" spans="1:5" x14ac:dyDescent="0.3">
      <c r="A182">
        <v>1</v>
      </c>
      <c r="B182">
        <v>178</v>
      </c>
      <c r="C182">
        <f t="shared" si="2"/>
        <v>0.48767123287671232</v>
      </c>
      <c r="D182" s="11">
        <f>EXP(rate*C182)</f>
        <v>1.0246832717249084</v>
      </c>
      <c r="E182" s="11">
        <f>EXP(-rate*C182)</f>
        <v>0.97591131581238999</v>
      </c>
    </row>
    <row r="183" spans="1:5" x14ac:dyDescent="0.3">
      <c r="A183">
        <v>1</v>
      </c>
      <c r="B183">
        <v>179</v>
      </c>
      <c r="C183">
        <f t="shared" si="2"/>
        <v>0.49041095890410957</v>
      </c>
      <c r="D183" s="11">
        <f>EXP(rate*C183)</f>
        <v>1.0248236489110336</v>
      </c>
      <c r="E183" s="11">
        <f>EXP(-rate*C183)</f>
        <v>0.97577763848696208</v>
      </c>
    </row>
    <row r="184" spans="1:5" x14ac:dyDescent="0.3">
      <c r="A184">
        <v>1</v>
      </c>
      <c r="B184">
        <v>180</v>
      </c>
      <c r="C184">
        <f t="shared" si="2"/>
        <v>0.49315068493150682</v>
      </c>
      <c r="D184" s="11">
        <f>EXP(rate*C184)</f>
        <v>1.0249640453282278</v>
      </c>
      <c r="E184" s="11">
        <f>EXP(-rate*C184)</f>
        <v>0.97564397947224235</v>
      </c>
    </row>
    <row r="185" spans="1:5" x14ac:dyDescent="0.3">
      <c r="A185">
        <v>1</v>
      </c>
      <c r="B185">
        <v>181</v>
      </c>
      <c r="C185">
        <f t="shared" si="2"/>
        <v>0.49589041095890413</v>
      </c>
      <c r="D185" s="11">
        <f>EXP(rate*C185)</f>
        <v>1.0251044609791251</v>
      </c>
      <c r="E185" s="11">
        <f>EXP(-rate*C185)</f>
        <v>0.9755103387657228</v>
      </c>
    </row>
    <row r="186" spans="1:5" x14ac:dyDescent="0.3">
      <c r="A186">
        <v>1</v>
      </c>
      <c r="B186">
        <v>182</v>
      </c>
      <c r="C186">
        <f t="shared" si="2"/>
        <v>0.49863013698630138</v>
      </c>
      <c r="D186" s="11">
        <f>EXP(rate*C186)</f>
        <v>1.0252448958663607</v>
      </c>
      <c r="E186" s="11">
        <f>EXP(-rate*C186)</f>
        <v>0.97537671636489531</v>
      </c>
    </row>
    <row r="187" spans="1:5" x14ac:dyDescent="0.3">
      <c r="A187">
        <v>1</v>
      </c>
      <c r="B187">
        <v>183</v>
      </c>
      <c r="C187">
        <f t="shared" si="2"/>
        <v>0.50136986301369868</v>
      </c>
      <c r="D187" s="11">
        <f>EXP(rate*C187)</f>
        <v>1.0253853499925698</v>
      </c>
      <c r="E187" s="11">
        <f>EXP(-rate*C187)</f>
        <v>0.9752431122672528</v>
      </c>
    </row>
    <row r="188" spans="1:5" x14ac:dyDescent="0.3">
      <c r="A188">
        <v>1</v>
      </c>
      <c r="B188">
        <v>184</v>
      </c>
      <c r="C188">
        <f t="shared" si="2"/>
        <v>0.50410958904109593</v>
      </c>
      <c r="D188" s="11">
        <f>EXP(rate*C188)</f>
        <v>1.0255258233603879</v>
      </c>
      <c r="E188" s="11">
        <f>EXP(-rate*C188)</f>
        <v>0.97510952647028781</v>
      </c>
    </row>
    <row r="189" spans="1:5" x14ac:dyDescent="0.3">
      <c r="A189">
        <v>1</v>
      </c>
      <c r="B189">
        <v>185</v>
      </c>
      <c r="C189">
        <f t="shared" si="2"/>
        <v>0.50684931506849318</v>
      </c>
      <c r="D189" s="11">
        <f>EXP(rate*C189)</f>
        <v>1.0256663159724513</v>
      </c>
      <c r="E189" s="11">
        <f>EXP(-rate*C189)</f>
        <v>0.97497595897149392</v>
      </c>
    </row>
    <row r="190" spans="1:5" x14ac:dyDescent="0.3">
      <c r="A190">
        <v>1</v>
      </c>
      <c r="B190">
        <v>186</v>
      </c>
      <c r="C190">
        <f t="shared" si="2"/>
        <v>0.50958904109589043</v>
      </c>
      <c r="D190" s="11">
        <f>EXP(rate*C190)</f>
        <v>1.0258068278313963</v>
      </c>
      <c r="E190" s="11">
        <f>EXP(-rate*C190)</f>
        <v>0.97484240976836434</v>
      </c>
    </row>
    <row r="191" spans="1:5" x14ac:dyDescent="0.3">
      <c r="A191">
        <v>1</v>
      </c>
      <c r="B191">
        <v>187</v>
      </c>
      <c r="C191">
        <f t="shared" si="2"/>
        <v>0.51232876712328768</v>
      </c>
      <c r="D191" s="11">
        <f>EXP(rate*C191)</f>
        <v>1.0259473589398596</v>
      </c>
      <c r="E191" s="11">
        <f>EXP(-rate*C191)</f>
        <v>0.9747088788583933</v>
      </c>
    </row>
    <row r="192" spans="1:5" x14ac:dyDescent="0.3">
      <c r="A192">
        <v>1</v>
      </c>
      <c r="B192">
        <v>188</v>
      </c>
      <c r="C192">
        <f t="shared" si="2"/>
        <v>0.51506849315068493</v>
      </c>
      <c r="D192" s="11">
        <f>EXP(rate*C192)</f>
        <v>1.026087909300478</v>
      </c>
      <c r="E192" s="11">
        <f>EXP(-rate*C192)</f>
        <v>0.97457536623907481</v>
      </c>
    </row>
    <row r="193" spans="1:5" x14ac:dyDescent="0.3">
      <c r="A193">
        <v>1</v>
      </c>
      <c r="B193">
        <v>189</v>
      </c>
      <c r="C193">
        <f t="shared" si="2"/>
        <v>0.51780821917808217</v>
      </c>
      <c r="D193" s="11">
        <f>EXP(rate*C193)</f>
        <v>1.0262284789158895</v>
      </c>
      <c r="E193" s="11">
        <f>EXP(-rate*C193)</f>
        <v>0.97444187190790366</v>
      </c>
    </row>
    <row r="194" spans="1:5" x14ac:dyDescent="0.3">
      <c r="A194">
        <v>1</v>
      </c>
      <c r="B194">
        <v>190</v>
      </c>
      <c r="C194">
        <f t="shared" si="2"/>
        <v>0.52054794520547942</v>
      </c>
      <c r="D194" s="11">
        <f>EXP(rate*C194)</f>
        <v>1.0263690677887316</v>
      </c>
      <c r="E194" s="11">
        <f>EXP(-rate*C194)</f>
        <v>0.97430839586237472</v>
      </c>
    </row>
    <row r="195" spans="1:5" x14ac:dyDescent="0.3">
      <c r="A195">
        <v>1</v>
      </c>
      <c r="B195">
        <v>191</v>
      </c>
      <c r="C195">
        <f t="shared" si="2"/>
        <v>0.52328767123287667</v>
      </c>
      <c r="D195" s="11">
        <f>EXP(rate*C195)</f>
        <v>1.0265096759216426</v>
      </c>
      <c r="E195" s="11">
        <f>EXP(-rate*C195)</f>
        <v>0.97417493809998323</v>
      </c>
    </row>
    <row r="196" spans="1:5" x14ac:dyDescent="0.3">
      <c r="A196">
        <v>1</v>
      </c>
      <c r="B196">
        <v>192</v>
      </c>
      <c r="C196">
        <f t="shared" si="2"/>
        <v>0.52602739726027392</v>
      </c>
      <c r="D196" s="11">
        <f>EXP(rate*C196)</f>
        <v>1.0266503033172609</v>
      </c>
      <c r="E196" s="11">
        <f>EXP(-rate*C196)</f>
        <v>0.97404149861822487</v>
      </c>
    </row>
    <row r="197" spans="1:5" x14ac:dyDescent="0.3">
      <c r="A197">
        <v>1</v>
      </c>
      <c r="B197">
        <v>193</v>
      </c>
      <c r="C197">
        <f t="shared" si="2"/>
        <v>0.52876712328767128</v>
      </c>
      <c r="D197" s="11">
        <f>EXP(rate*C197)</f>
        <v>1.0267909499782257</v>
      </c>
      <c r="E197" s="11">
        <f>EXP(-rate*C197)</f>
        <v>0.97390807741459562</v>
      </c>
    </row>
    <row r="198" spans="1:5" x14ac:dyDescent="0.3">
      <c r="A198">
        <v>1</v>
      </c>
      <c r="B198">
        <v>194</v>
      </c>
      <c r="C198">
        <f t="shared" ref="C198:C245" si="3">B198/365</f>
        <v>0.53150684931506853</v>
      </c>
      <c r="D198" s="11">
        <f>EXP(rate*C198)</f>
        <v>1.026931615907176</v>
      </c>
      <c r="E198" s="11">
        <f>EXP(-rate*C198)</f>
        <v>0.97377467448659183</v>
      </c>
    </row>
    <row r="199" spans="1:5" x14ac:dyDescent="0.3">
      <c r="A199">
        <v>1</v>
      </c>
      <c r="B199">
        <v>195</v>
      </c>
      <c r="C199">
        <f t="shared" si="3"/>
        <v>0.53424657534246578</v>
      </c>
      <c r="D199" s="11">
        <f>EXP(rate*C199)</f>
        <v>1.0270723011067513</v>
      </c>
      <c r="E199" s="11">
        <f>EXP(-rate*C199)</f>
        <v>0.97364128983171017</v>
      </c>
    </row>
    <row r="200" spans="1:5" x14ac:dyDescent="0.3">
      <c r="A200">
        <v>1</v>
      </c>
      <c r="B200">
        <v>196</v>
      </c>
      <c r="C200">
        <f t="shared" si="3"/>
        <v>0.53698630136986303</v>
      </c>
      <c r="D200" s="11">
        <f>EXP(rate*C200)</f>
        <v>1.0272130055795921</v>
      </c>
      <c r="E200" s="11">
        <f>EXP(-rate*C200)</f>
        <v>0.97350792344744752</v>
      </c>
    </row>
    <row r="201" spans="1:5" x14ac:dyDescent="0.3">
      <c r="A201">
        <v>1</v>
      </c>
      <c r="B201">
        <v>197</v>
      </c>
      <c r="C201">
        <f t="shared" si="3"/>
        <v>0.53972602739726028</v>
      </c>
      <c r="D201" s="11">
        <f>EXP(rate*C201)</f>
        <v>1.0273537293283383</v>
      </c>
      <c r="E201" s="11">
        <f>EXP(-rate*C201)</f>
        <v>0.97337457533130134</v>
      </c>
    </row>
    <row r="202" spans="1:5" x14ac:dyDescent="0.3">
      <c r="A202">
        <v>1</v>
      </c>
      <c r="B202">
        <v>198</v>
      </c>
      <c r="C202">
        <f t="shared" si="3"/>
        <v>0.54246575342465753</v>
      </c>
      <c r="D202" s="11">
        <f>EXP(rate*C202)</f>
        <v>1.0274944723556307</v>
      </c>
      <c r="E202" s="11">
        <f>EXP(-rate*C202)</f>
        <v>0.97324124548076929</v>
      </c>
    </row>
    <row r="203" spans="1:5" x14ac:dyDescent="0.3">
      <c r="A203">
        <v>1</v>
      </c>
      <c r="B203">
        <v>199</v>
      </c>
      <c r="C203">
        <f t="shared" si="3"/>
        <v>0.54520547945205478</v>
      </c>
      <c r="D203" s="11">
        <f>EXP(rate*C203)</f>
        <v>1.0276352346641107</v>
      </c>
      <c r="E203" s="11">
        <f>EXP(-rate*C203)</f>
        <v>0.97310793389334937</v>
      </c>
    </row>
    <row r="204" spans="1:5" x14ac:dyDescent="0.3">
      <c r="A204">
        <v>1</v>
      </c>
      <c r="B204">
        <v>200</v>
      </c>
      <c r="C204">
        <f t="shared" si="3"/>
        <v>0.54794520547945202</v>
      </c>
      <c r="D204" s="11">
        <f>EXP(rate*C204)</f>
        <v>1.0277760162564193</v>
      </c>
      <c r="E204" s="11">
        <f>EXP(-rate*C204)</f>
        <v>0.97297464056654004</v>
      </c>
    </row>
    <row r="205" spans="1:5" x14ac:dyDescent="0.3">
      <c r="A205">
        <v>1</v>
      </c>
      <c r="B205">
        <v>201</v>
      </c>
      <c r="C205">
        <f t="shared" si="3"/>
        <v>0.55068493150684927</v>
      </c>
      <c r="D205" s="11">
        <f>EXP(rate*C205)</f>
        <v>1.0279168171351987</v>
      </c>
      <c r="E205" s="11">
        <f>EXP(-rate*C205)</f>
        <v>0.97284136549783995</v>
      </c>
    </row>
    <row r="206" spans="1:5" x14ac:dyDescent="0.3">
      <c r="A206">
        <v>1</v>
      </c>
      <c r="B206">
        <v>202</v>
      </c>
      <c r="C206">
        <f t="shared" si="3"/>
        <v>0.55342465753424652</v>
      </c>
      <c r="D206" s="11">
        <f>EXP(rate*C206)</f>
        <v>1.0280576373030905</v>
      </c>
      <c r="E206" s="11">
        <f>EXP(-rate*C206)</f>
        <v>0.97270810868474811</v>
      </c>
    </row>
    <row r="207" spans="1:5" x14ac:dyDescent="0.3">
      <c r="A207">
        <v>1</v>
      </c>
      <c r="B207">
        <v>203</v>
      </c>
      <c r="C207">
        <f t="shared" si="3"/>
        <v>0.55616438356164388</v>
      </c>
      <c r="D207" s="11">
        <f>EXP(rate*C207)</f>
        <v>1.0281984767627379</v>
      </c>
      <c r="E207" s="11">
        <f>EXP(-rate*C207)</f>
        <v>0.97257487012476407</v>
      </c>
    </row>
    <row r="208" spans="1:5" x14ac:dyDescent="0.3">
      <c r="A208">
        <v>1</v>
      </c>
      <c r="B208">
        <v>204</v>
      </c>
      <c r="C208">
        <f t="shared" si="3"/>
        <v>0.55890410958904113</v>
      </c>
      <c r="D208" s="11">
        <f>EXP(rate*C208)</f>
        <v>1.0283393355167834</v>
      </c>
      <c r="E208" s="11">
        <f>EXP(-rate*C208)</f>
        <v>0.97244164981538739</v>
      </c>
    </row>
    <row r="209" spans="1:5" x14ac:dyDescent="0.3">
      <c r="A209">
        <v>1</v>
      </c>
      <c r="B209">
        <v>205</v>
      </c>
      <c r="C209">
        <f t="shared" si="3"/>
        <v>0.56164383561643838</v>
      </c>
      <c r="D209" s="11">
        <f>EXP(rate*C209)</f>
        <v>1.0284802135678701</v>
      </c>
      <c r="E209" s="11">
        <f>EXP(-rate*C209)</f>
        <v>0.9723084477541184</v>
      </c>
    </row>
    <row r="210" spans="1:5" x14ac:dyDescent="0.3">
      <c r="A210">
        <v>1</v>
      </c>
      <c r="B210">
        <v>206</v>
      </c>
      <c r="C210">
        <f t="shared" si="3"/>
        <v>0.56438356164383563</v>
      </c>
      <c r="D210" s="11">
        <f>EXP(rate*C210)</f>
        <v>1.0286211109186421</v>
      </c>
      <c r="E210" s="11">
        <f>EXP(-rate*C210)</f>
        <v>0.97217526393845732</v>
      </c>
    </row>
    <row r="211" spans="1:5" x14ac:dyDescent="0.3">
      <c r="A211">
        <v>1</v>
      </c>
      <c r="B211">
        <v>207</v>
      </c>
      <c r="C211">
        <f t="shared" si="3"/>
        <v>0.56712328767123288</v>
      </c>
      <c r="D211" s="11">
        <f>EXP(rate*C211)</f>
        <v>1.0287620275717431</v>
      </c>
      <c r="E211" s="11">
        <f>EXP(-rate*C211)</f>
        <v>0.97204209836590494</v>
      </c>
    </row>
    <row r="212" spans="1:5" x14ac:dyDescent="0.3">
      <c r="A212">
        <v>1</v>
      </c>
      <c r="B212">
        <v>208</v>
      </c>
      <c r="C212">
        <f t="shared" si="3"/>
        <v>0.56986301369863013</v>
      </c>
      <c r="D212" s="11">
        <f>EXP(rate*C212)</f>
        <v>1.0289029635298172</v>
      </c>
      <c r="E212" s="11">
        <f>EXP(-rate*C212)</f>
        <v>0.97190895103396246</v>
      </c>
    </row>
    <row r="213" spans="1:5" x14ac:dyDescent="0.3">
      <c r="A213">
        <v>1</v>
      </c>
      <c r="B213">
        <v>209</v>
      </c>
      <c r="C213">
        <f t="shared" si="3"/>
        <v>0.57260273972602738</v>
      </c>
      <c r="D213" s="11">
        <f>EXP(rate*C213)</f>
        <v>1.0290439187955094</v>
      </c>
      <c r="E213" s="11">
        <f>EXP(-rate*C213)</f>
        <v>0.97177582194013135</v>
      </c>
    </row>
    <row r="214" spans="1:5" x14ac:dyDescent="0.3">
      <c r="A214">
        <v>1</v>
      </c>
      <c r="B214">
        <v>210</v>
      </c>
      <c r="C214">
        <f t="shared" si="3"/>
        <v>0.57534246575342463</v>
      </c>
      <c r="D214" s="11">
        <f>EXP(rate*C214)</f>
        <v>1.0291848933714649</v>
      </c>
      <c r="E214" s="11">
        <f>EXP(-rate*C214)</f>
        <v>0.97164271108191336</v>
      </c>
    </row>
    <row r="215" spans="1:5" x14ac:dyDescent="0.3">
      <c r="A215">
        <v>1</v>
      </c>
      <c r="B215">
        <v>211</v>
      </c>
      <c r="C215">
        <f t="shared" si="3"/>
        <v>0.57808219178082187</v>
      </c>
      <c r="D215" s="11">
        <f>EXP(rate*C215)</f>
        <v>1.0293258872603288</v>
      </c>
      <c r="E215" s="11">
        <f>EXP(-rate*C215)</f>
        <v>0.97150961845681061</v>
      </c>
    </row>
    <row r="216" spans="1:5" x14ac:dyDescent="0.3">
      <c r="A216">
        <v>1</v>
      </c>
      <c r="B216">
        <v>212</v>
      </c>
      <c r="C216">
        <f t="shared" si="3"/>
        <v>0.58082191780821912</v>
      </c>
      <c r="D216" s="11">
        <f>EXP(rate*C216)</f>
        <v>1.029466900464747</v>
      </c>
      <c r="E216" s="11">
        <f>EXP(-rate*C216)</f>
        <v>0.97137654406232565</v>
      </c>
    </row>
    <row r="217" spans="1:5" x14ac:dyDescent="0.3">
      <c r="A217">
        <v>1</v>
      </c>
      <c r="B217">
        <v>213</v>
      </c>
      <c r="C217">
        <f t="shared" si="3"/>
        <v>0.58356164383561648</v>
      </c>
      <c r="D217" s="11">
        <f>EXP(rate*C217)</f>
        <v>1.0296079329873655</v>
      </c>
      <c r="E217" s="11">
        <f>EXP(-rate*C217)</f>
        <v>0.97124348789596116</v>
      </c>
    </row>
    <row r="218" spans="1:5" x14ac:dyDescent="0.3">
      <c r="A218">
        <v>1</v>
      </c>
      <c r="B218">
        <v>214</v>
      </c>
      <c r="C218">
        <f t="shared" si="3"/>
        <v>0.58630136986301373</v>
      </c>
      <c r="D218" s="11">
        <f>EXP(rate*C218)</f>
        <v>1.0297489848308312</v>
      </c>
      <c r="E218" s="11">
        <f>EXP(-rate*C218)</f>
        <v>0.97111044995522056</v>
      </c>
    </row>
    <row r="219" spans="1:5" x14ac:dyDescent="0.3">
      <c r="A219">
        <v>1</v>
      </c>
      <c r="B219">
        <v>215</v>
      </c>
      <c r="C219">
        <f t="shared" si="3"/>
        <v>0.58904109589041098</v>
      </c>
      <c r="D219" s="11">
        <f>EXP(rate*C219)</f>
        <v>1.0298900559977906</v>
      </c>
      <c r="E219" s="11">
        <f>EXP(-rate*C219)</f>
        <v>0.97097743023760708</v>
      </c>
    </row>
    <row r="220" spans="1:5" x14ac:dyDescent="0.3">
      <c r="A220">
        <v>1</v>
      </c>
      <c r="B220">
        <v>216</v>
      </c>
      <c r="C220">
        <f t="shared" si="3"/>
        <v>0.59178082191780823</v>
      </c>
      <c r="D220" s="11">
        <f>EXP(rate*C220)</f>
        <v>1.0300311464908911</v>
      </c>
      <c r="E220" s="11">
        <f>EXP(-rate*C220)</f>
        <v>0.97084442874062482</v>
      </c>
    </row>
    <row r="221" spans="1:5" x14ac:dyDescent="0.3">
      <c r="A221">
        <v>1</v>
      </c>
      <c r="B221">
        <v>217</v>
      </c>
      <c r="C221">
        <f t="shared" si="3"/>
        <v>0.59452054794520548</v>
      </c>
      <c r="D221" s="11">
        <f>EXP(rate*C221)</f>
        <v>1.0301722563127802</v>
      </c>
      <c r="E221" s="11">
        <f>EXP(-rate*C221)</f>
        <v>0.97071144546177779</v>
      </c>
    </row>
    <row r="222" spans="1:5" x14ac:dyDescent="0.3">
      <c r="A222">
        <v>1</v>
      </c>
      <c r="B222">
        <v>218</v>
      </c>
      <c r="C222">
        <f t="shared" si="3"/>
        <v>0.59726027397260273</v>
      </c>
      <c r="D222" s="11">
        <f>EXP(rate*C222)</f>
        <v>1.0303133854661062</v>
      </c>
      <c r="E222" s="11">
        <f>EXP(-rate*C222)</f>
        <v>0.97057848039857064</v>
      </c>
    </row>
    <row r="223" spans="1:5" x14ac:dyDescent="0.3">
      <c r="A223">
        <v>1</v>
      </c>
      <c r="B223">
        <v>219</v>
      </c>
      <c r="C223">
        <f t="shared" si="3"/>
        <v>0.6</v>
      </c>
      <c r="D223" s="11">
        <f>EXP(rate*C223)</f>
        <v>1.0304545339535169</v>
      </c>
      <c r="E223" s="11">
        <f>EXP(-rate*C223)</f>
        <v>0.97044553354850815</v>
      </c>
    </row>
    <row r="224" spans="1:5" x14ac:dyDescent="0.3">
      <c r="A224">
        <v>1</v>
      </c>
      <c r="B224">
        <v>220</v>
      </c>
      <c r="C224">
        <f t="shared" si="3"/>
        <v>0.60273972602739723</v>
      </c>
      <c r="D224" s="11">
        <f>EXP(rate*C224)</f>
        <v>1.0305957017776612</v>
      </c>
      <c r="E224" s="11">
        <f>EXP(-rate*C224)</f>
        <v>0.97031260490909566</v>
      </c>
    </row>
    <row r="225" spans="1:5" x14ac:dyDescent="0.3">
      <c r="A225">
        <v>1</v>
      </c>
      <c r="B225">
        <v>221</v>
      </c>
      <c r="C225">
        <f t="shared" si="3"/>
        <v>0.60547945205479448</v>
      </c>
      <c r="D225" s="11">
        <f>EXP(rate*C225)</f>
        <v>1.0307368889411883</v>
      </c>
      <c r="E225" s="11">
        <f>EXP(-rate*C225)</f>
        <v>0.97017969447783869</v>
      </c>
    </row>
    <row r="226" spans="1:5" x14ac:dyDescent="0.3">
      <c r="A226">
        <v>1</v>
      </c>
      <c r="B226">
        <v>222</v>
      </c>
      <c r="C226">
        <f t="shared" si="3"/>
        <v>0.60821917808219184</v>
      </c>
      <c r="D226" s="11">
        <f>EXP(rate*C226)</f>
        <v>1.0308780954467476</v>
      </c>
      <c r="E226" s="11">
        <f>EXP(-rate*C226)</f>
        <v>0.97004680225224305</v>
      </c>
    </row>
    <row r="227" spans="1:5" x14ac:dyDescent="0.3">
      <c r="A227">
        <v>1</v>
      </c>
      <c r="B227">
        <v>223</v>
      </c>
      <c r="C227">
        <f t="shared" si="3"/>
        <v>0.61095890410958908</v>
      </c>
      <c r="D227" s="11">
        <f>EXP(rate*C227)</f>
        <v>1.0310193212969885</v>
      </c>
      <c r="E227" s="11">
        <f>EXP(-rate*C227)</f>
        <v>0.96991392822981504</v>
      </c>
    </row>
    <row r="228" spans="1:5" x14ac:dyDescent="0.3">
      <c r="A228">
        <v>1</v>
      </c>
      <c r="B228">
        <v>224</v>
      </c>
      <c r="C228">
        <f t="shared" si="3"/>
        <v>0.61369863013698633</v>
      </c>
      <c r="D228" s="11">
        <f>EXP(rate*C228)</f>
        <v>1.0311605664945616</v>
      </c>
      <c r="E228" s="11">
        <f>EXP(-rate*C228)</f>
        <v>0.96978107240806133</v>
      </c>
    </row>
    <row r="229" spans="1:5" x14ac:dyDescent="0.3">
      <c r="A229">
        <v>1</v>
      </c>
      <c r="B229">
        <v>225</v>
      </c>
      <c r="C229">
        <f t="shared" si="3"/>
        <v>0.61643835616438358</v>
      </c>
      <c r="D229" s="11">
        <f>EXP(rate*C229)</f>
        <v>1.0313018310421171</v>
      </c>
      <c r="E229" s="11">
        <f>EXP(-rate*C229)</f>
        <v>0.96964823478448869</v>
      </c>
    </row>
    <row r="230" spans="1:5" x14ac:dyDescent="0.3">
      <c r="A230">
        <v>1</v>
      </c>
      <c r="B230">
        <v>226</v>
      </c>
      <c r="C230">
        <f t="shared" si="3"/>
        <v>0.61917808219178083</v>
      </c>
      <c r="D230" s="11">
        <f>EXP(rate*C230)</f>
        <v>1.0314431149423062</v>
      </c>
      <c r="E230" s="11">
        <f>EXP(-rate*C230)</f>
        <v>0.96951541535660457</v>
      </c>
    </row>
    <row r="231" spans="1:5" x14ac:dyDescent="0.3">
      <c r="A231">
        <v>1</v>
      </c>
      <c r="B231">
        <v>227</v>
      </c>
      <c r="C231">
        <f t="shared" si="3"/>
        <v>0.62191780821917808</v>
      </c>
      <c r="D231" s="11">
        <f>EXP(rate*C231)</f>
        <v>1.0315844181977798</v>
      </c>
      <c r="E231" s="11">
        <f>EXP(-rate*C231)</f>
        <v>0.9693826141219164</v>
      </c>
    </row>
    <row r="232" spans="1:5" x14ac:dyDescent="0.3">
      <c r="A232">
        <v>1</v>
      </c>
      <c r="B232">
        <v>228</v>
      </c>
      <c r="C232">
        <f t="shared" si="3"/>
        <v>0.62465753424657533</v>
      </c>
      <c r="D232" s="11">
        <f>EXP(rate*C232)</f>
        <v>1.0317257408111895</v>
      </c>
      <c r="E232" s="11">
        <f>EXP(-rate*C232)</f>
        <v>0.96924983107793228</v>
      </c>
    </row>
    <row r="233" spans="1:5" x14ac:dyDescent="0.3">
      <c r="A233">
        <v>1</v>
      </c>
      <c r="B233">
        <v>229</v>
      </c>
      <c r="C233">
        <f t="shared" si="3"/>
        <v>0.62739726027397258</v>
      </c>
      <c r="D233" s="11">
        <f>EXP(rate*C233)</f>
        <v>1.0318670827851875</v>
      </c>
      <c r="E233" s="11">
        <f>EXP(-rate*C233)</f>
        <v>0.96911706622216043</v>
      </c>
    </row>
    <row r="234" spans="1:5" x14ac:dyDescent="0.3">
      <c r="A234">
        <v>1</v>
      </c>
      <c r="B234">
        <v>230</v>
      </c>
      <c r="C234">
        <f t="shared" si="3"/>
        <v>0.63013698630136983</v>
      </c>
      <c r="D234" s="11">
        <f>EXP(rate*C234)</f>
        <v>1.0320084441224258</v>
      </c>
      <c r="E234" s="11">
        <f>EXP(-rate*C234)</f>
        <v>0.96898431955210951</v>
      </c>
    </row>
    <row r="235" spans="1:5" x14ac:dyDescent="0.3">
      <c r="A235">
        <v>1</v>
      </c>
      <c r="B235">
        <v>231</v>
      </c>
      <c r="C235">
        <f t="shared" si="3"/>
        <v>0.63287671232876708</v>
      </c>
      <c r="D235" s="11">
        <f>EXP(rate*C235)</f>
        <v>1.0321498248255572</v>
      </c>
      <c r="E235" s="11">
        <f>EXP(-rate*C235)</f>
        <v>0.96885159106528851</v>
      </c>
    </row>
    <row r="236" spans="1:5" x14ac:dyDescent="0.3">
      <c r="A236">
        <v>1</v>
      </c>
      <c r="B236">
        <v>232</v>
      </c>
      <c r="C236">
        <f t="shared" si="3"/>
        <v>0.63561643835616444</v>
      </c>
      <c r="D236" s="11">
        <f>EXP(rate*C236)</f>
        <v>1.0322912248972349</v>
      </c>
      <c r="E236" s="11">
        <f>EXP(-rate*C236)</f>
        <v>0.96871888075920665</v>
      </c>
    </row>
    <row r="237" spans="1:5" x14ac:dyDescent="0.3">
      <c r="A237">
        <v>1</v>
      </c>
      <c r="B237">
        <v>233</v>
      </c>
      <c r="C237">
        <f t="shared" si="3"/>
        <v>0.63835616438356169</v>
      </c>
      <c r="D237" s="11">
        <f>EXP(rate*C237)</f>
        <v>1.0324326443401122</v>
      </c>
      <c r="E237" s="11">
        <f>EXP(-rate*C237)</f>
        <v>0.9685861886313738</v>
      </c>
    </row>
    <row r="238" spans="1:5" x14ac:dyDescent="0.3">
      <c r="A238">
        <v>1</v>
      </c>
      <c r="B238">
        <v>234</v>
      </c>
      <c r="C238">
        <f t="shared" si="3"/>
        <v>0.64109589041095894</v>
      </c>
      <c r="D238" s="11">
        <f>EXP(rate*C238)</f>
        <v>1.0325740831568428</v>
      </c>
      <c r="E238" s="11">
        <f>EXP(-rate*C238)</f>
        <v>0.96845351467929963</v>
      </c>
    </row>
    <row r="239" spans="1:5" x14ac:dyDescent="0.3">
      <c r="A239">
        <v>1</v>
      </c>
      <c r="B239">
        <v>235</v>
      </c>
      <c r="C239">
        <f t="shared" si="3"/>
        <v>0.64383561643835618</v>
      </c>
      <c r="D239" s="11">
        <f>EXP(rate*C239)</f>
        <v>1.032715541350081</v>
      </c>
      <c r="E239" s="11">
        <f>EXP(-rate*C239)</f>
        <v>0.9683208589004948</v>
      </c>
    </row>
    <row r="240" spans="1:5" x14ac:dyDescent="0.3">
      <c r="A240">
        <v>1</v>
      </c>
      <c r="B240">
        <v>236</v>
      </c>
      <c r="C240">
        <f t="shared" si="3"/>
        <v>0.64657534246575343</v>
      </c>
      <c r="D240" s="11">
        <f>EXP(rate*C240)</f>
        <v>1.0328570189224813</v>
      </c>
      <c r="E240" s="11">
        <f>EXP(-rate*C240)</f>
        <v>0.96818822129246984</v>
      </c>
    </row>
    <row r="241" spans="1:5" x14ac:dyDescent="0.3">
      <c r="A241">
        <v>1</v>
      </c>
      <c r="B241">
        <v>237</v>
      </c>
      <c r="C241">
        <f t="shared" si="3"/>
        <v>0.64931506849315068</v>
      </c>
      <c r="D241" s="11">
        <f>EXP(rate*C241)</f>
        <v>1.0329985158766983</v>
      </c>
      <c r="E241" s="11">
        <f>EXP(-rate*C241)</f>
        <v>0.96805560185273576</v>
      </c>
    </row>
    <row r="242" spans="1:5" x14ac:dyDescent="0.3">
      <c r="A242">
        <v>1</v>
      </c>
      <c r="B242">
        <v>238</v>
      </c>
      <c r="C242">
        <f t="shared" si="3"/>
        <v>0.65205479452054793</v>
      </c>
      <c r="D242" s="11">
        <f>EXP(rate*C242)</f>
        <v>1.0331400322153874</v>
      </c>
      <c r="E242" s="11">
        <f>EXP(-rate*C242)</f>
        <v>0.96792300057880398</v>
      </c>
    </row>
    <row r="243" spans="1:5" x14ac:dyDescent="0.3">
      <c r="A243">
        <v>1</v>
      </c>
      <c r="B243">
        <v>239</v>
      </c>
      <c r="C243">
        <f t="shared" si="3"/>
        <v>0.65479452054794518</v>
      </c>
      <c r="D243" s="11">
        <f>EXP(rate*C243)</f>
        <v>1.0332815679412042</v>
      </c>
      <c r="E243" s="11">
        <f>EXP(-rate*C243)</f>
        <v>0.96779041746818617</v>
      </c>
    </row>
    <row r="244" spans="1:5" x14ac:dyDescent="0.3">
      <c r="A244">
        <v>1</v>
      </c>
      <c r="B244">
        <v>240</v>
      </c>
      <c r="C244">
        <f t="shared" si="3"/>
        <v>0.65753424657534243</v>
      </c>
      <c r="D244" s="11">
        <f>EXP(rate*C244)</f>
        <v>1.0334231230568047</v>
      </c>
      <c r="E244" s="11">
        <f>EXP(-rate*C244)</f>
        <v>0.96765785251839442</v>
      </c>
    </row>
    <row r="245" spans="1:5" x14ac:dyDescent="0.3">
      <c r="A245">
        <v>1</v>
      </c>
      <c r="B245">
        <v>241</v>
      </c>
      <c r="C245">
        <f t="shared" si="3"/>
        <v>0.66027397260273968</v>
      </c>
      <c r="D245" s="11">
        <f>EXP(rate*C245)</f>
        <v>1.0335646975648449</v>
      </c>
      <c r="E245" s="11">
        <f>EXP(-rate*C245)</f>
        <v>0.96752530572694107</v>
      </c>
    </row>
    <row r="246" spans="1:5" x14ac:dyDescent="0.3">
      <c r="D246" s="11"/>
      <c r="E246" s="11"/>
    </row>
    <row r="247" spans="1:5" x14ac:dyDescent="0.3">
      <c r="D247" s="11"/>
      <c r="E247" s="11"/>
    </row>
    <row r="248" spans="1:5" x14ac:dyDescent="0.3">
      <c r="D248" s="11"/>
      <c r="E248" s="11"/>
    </row>
    <row r="249" spans="1:5" x14ac:dyDescent="0.3">
      <c r="D249" s="11"/>
      <c r="E249" s="11"/>
    </row>
    <row r="250" spans="1:5" x14ac:dyDescent="0.3">
      <c r="D250" s="11"/>
      <c r="E250" s="11"/>
    </row>
    <row r="251" spans="1:5" x14ac:dyDescent="0.3">
      <c r="D251" s="11"/>
      <c r="E251" s="11"/>
    </row>
    <row r="252" spans="1:5" x14ac:dyDescent="0.3">
      <c r="D252" s="11"/>
      <c r="E252" s="11"/>
    </row>
    <row r="253" spans="1:5" x14ac:dyDescent="0.3">
      <c r="D253" s="11"/>
      <c r="E253" s="11"/>
    </row>
    <row r="254" spans="1:5" x14ac:dyDescent="0.3">
      <c r="D254" s="11"/>
      <c r="E254" s="11"/>
    </row>
    <row r="255" spans="1:5" x14ac:dyDescent="0.3">
      <c r="D255" s="1"/>
      <c r="E255" s="1"/>
    </row>
    <row r="256" spans="1:5" x14ac:dyDescent="0.3">
      <c r="D256" s="1"/>
      <c r="E256" s="1"/>
    </row>
    <row r="257" spans="4:5" x14ac:dyDescent="0.3">
      <c r="D257" s="1"/>
      <c r="E257" s="1"/>
    </row>
    <row r="258" spans="4:5" x14ac:dyDescent="0.3">
      <c r="D258" s="1"/>
      <c r="E258" s="1"/>
    </row>
    <row r="259" spans="4:5" x14ac:dyDescent="0.3">
      <c r="D259" s="1"/>
      <c r="E259" s="1"/>
    </row>
    <row r="260" spans="4:5" x14ac:dyDescent="0.3">
      <c r="D260" s="1"/>
      <c r="E260" s="1"/>
    </row>
    <row r="261" spans="4:5" x14ac:dyDescent="0.3">
      <c r="D261" s="1"/>
      <c r="E261" s="1"/>
    </row>
    <row r="262" spans="4:5" x14ac:dyDescent="0.3">
      <c r="D262" s="1"/>
      <c r="E262" s="1"/>
    </row>
    <row r="263" spans="4:5" x14ac:dyDescent="0.3">
      <c r="D263" s="1"/>
      <c r="E263" s="1"/>
    </row>
    <row r="264" spans="4:5" x14ac:dyDescent="0.3">
      <c r="D264" s="1"/>
      <c r="E264" s="1"/>
    </row>
    <row r="265" spans="4:5" x14ac:dyDescent="0.3">
      <c r="D265" s="1"/>
      <c r="E265" s="1"/>
    </row>
    <row r="266" spans="4:5" x14ac:dyDescent="0.3">
      <c r="D266" s="1"/>
      <c r="E266" s="1"/>
    </row>
    <row r="267" spans="4:5" x14ac:dyDescent="0.3">
      <c r="D267" s="1"/>
      <c r="E267" s="1"/>
    </row>
    <row r="268" spans="4:5" x14ac:dyDescent="0.3">
      <c r="D268" s="1"/>
      <c r="E268" s="1"/>
    </row>
    <row r="269" spans="4:5" x14ac:dyDescent="0.3">
      <c r="D269" s="1"/>
      <c r="E269" s="1"/>
    </row>
    <row r="270" spans="4:5" x14ac:dyDescent="0.3">
      <c r="D270" s="1"/>
      <c r="E270" s="1"/>
    </row>
    <row r="271" spans="4:5" x14ac:dyDescent="0.3">
      <c r="D271" s="1"/>
      <c r="E271" s="1"/>
    </row>
    <row r="272" spans="4:5" x14ac:dyDescent="0.3">
      <c r="D272" s="1"/>
      <c r="E272" s="1"/>
    </row>
    <row r="273" spans="4:5" x14ac:dyDescent="0.3">
      <c r="D273" s="1"/>
      <c r="E273" s="1"/>
    </row>
    <row r="274" spans="4:5" x14ac:dyDescent="0.3">
      <c r="D274" s="1"/>
      <c r="E274" s="1"/>
    </row>
    <row r="275" spans="4:5" x14ac:dyDescent="0.3">
      <c r="D275" s="1"/>
      <c r="E275" s="1"/>
    </row>
    <row r="276" spans="4:5" x14ac:dyDescent="0.3">
      <c r="D276" s="1"/>
      <c r="E276" s="1"/>
    </row>
    <row r="277" spans="4:5" x14ac:dyDescent="0.3">
      <c r="D277" s="1"/>
      <c r="E277" s="1"/>
    </row>
    <row r="278" spans="4:5" x14ac:dyDescent="0.3">
      <c r="D278" s="1"/>
      <c r="E278" s="1"/>
    </row>
    <row r="279" spans="4:5" x14ac:dyDescent="0.3">
      <c r="D279" s="1"/>
      <c r="E279" s="1"/>
    </row>
    <row r="280" spans="4:5" x14ac:dyDescent="0.3">
      <c r="D280" s="1"/>
      <c r="E280" s="1"/>
    </row>
    <row r="281" spans="4:5" x14ac:dyDescent="0.3">
      <c r="D281" s="1"/>
      <c r="E281" s="1"/>
    </row>
    <row r="282" spans="4:5" x14ac:dyDescent="0.3">
      <c r="D282" s="1"/>
      <c r="E282" s="1"/>
    </row>
    <row r="283" spans="4:5" x14ac:dyDescent="0.3">
      <c r="D283" s="1"/>
      <c r="E283" s="1"/>
    </row>
    <row r="284" spans="4:5" x14ac:dyDescent="0.3">
      <c r="D284" s="1"/>
      <c r="E284" s="1"/>
    </row>
    <row r="285" spans="4:5" x14ac:dyDescent="0.3">
      <c r="D285" s="1"/>
      <c r="E285" s="1"/>
    </row>
    <row r="286" spans="4:5" x14ac:dyDescent="0.3">
      <c r="D286" s="1"/>
      <c r="E286" s="1"/>
    </row>
    <row r="287" spans="4:5" x14ac:dyDescent="0.3">
      <c r="D287" s="1"/>
      <c r="E287" s="1"/>
    </row>
    <row r="288" spans="4:5" x14ac:dyDescent="0.3">
      <c r="D288" s="1"/>
      <c r="E288" s="1"/>
    </row>
    <row r="289" spans="4:5" x14ac:dyDescent="0.3">
      <c r="D289" s="1"/>
      <c r="E289" s="1"/>
    </row>
    <row r="290" spans="4:5" x14ac:dyDescent="0.3">
      <c r="D290" s="1"/>
      <c r="E290" s="1"/>
    </row>
    <row r="291" spans="4:5" x14ac:dyDescent="0.3">
      <c r="D291" s="1"/>
      <c r="E291" s="1"/>
    </row>
    <row r="292" spans="4:5" x14ac:dyDescent="0.3">
      <c r="D292" s="1"/>
      <c r="E292" s="1"/>
    </row>
    <row r="293" spans="4:5" x14ac:dyDescent="0.3">
      <c r="D293" s="1"/>
      <c r="E293" s="1"/>
    </row>
    <row r="294" spans="4:5" x14ac:dyDescent="0.3">
      <c r="D294" s="1"/>
      <c r="E294" s="1"/>
    </row>
    <row r="295" spans="4:5" x14ac:dyDescent="0.3">
      <c r="D295" s="1"/>
      <c r="E295" s="1"/>
    </row>
    <row r="296" spans="4:5" x14ac:dyDescent="0.3">
      <c r="D296" s="1"/>
      <c r="E296" s="1"/>
    </row>
    <row r="297" spans="4:5" x14ac:dyDescent="0.3">
      <c r="D297" s="1"/>
      <c r="E297" s="1"/>
    </row>
    <row r="298" spans="4:5" x14ac:dyDescent="0.3">
      <c r="D298" s="1"/>
      <c r="E298" s="1"/>
    </row>
    <row r="299" spans="4:5" x14ac:dyDescent="0.3">
      <c r="D299" s="1"/>
      <c r="E299" s="1"/>
    </row>
    <row r="300" spans="4:5" x14ac:dyDescent="0.3">
      <c r="D300" s="1"/>
      <c r="E300" s="1"/>
    </row>
    <row r="301" spans="4:5" x14ac:dyDescent="0.3">
      <c r="D301" s="1"/>
      <c r="E301" s="1"/>
    </row>
    <row r="302" spans="4:5" x14ac:dyDescent="0.3">
      <c r="D302" s="1"/>
      <c r="E302" s="1"/>
    </row>
    <row r="303" spans="4:5" x14ac:dyDescent="0.3">
      <c r="D303" s="1"/>
      <c r="E303" s="1"/>
    </row>
    <row r="304" spans="4:5" x14ac:dyDescent="0.3">
      <c r="D304" s="1"/>
      <c r="E304" s="1"/>
    </row>
    <row r="305" spans="4:5" x14ac:dyDescent="0.3">
      <c r="D305" s="1"/>
      <c r="E305" s="1"/>
    </row>
    <row r="306" spans="4:5" x14ac:dyDescent="0.3">
      <c r="D306" s="1"/>
      <c r="E306" s="1"/>
    </row>
    <row r="307" spans="4:5" x14ac:dyDescent="0.3">
      <c r="D307" s="1"/>
      <c r="E307" s="1"/>
    </row>
    <row r="308" spans="4:5" x14ac:dyDescent="0.3">
      <c r="D308" s="1"/>
      <c r="E308" s="1"/>
    </row>
    <row r="309" spans="4:5" x14ac:dyDescent="0.3">
      <c r="D309" s="1"/>
      <c r="E309" s="1"/>
    </row>
    <row r="310" spans="4:5" x14ac:dyDescent="0.3">
      <c r="D310" s="1"/>
      <c r="E310" s="1"/>
    </row>
    <row r="311" spans="4:5" x14ac:dyDescent="0.3">
      <c r="D311" s="1"/>
      <c r="E311" s="1"/>
    </row>
    <row r="312" spans="4:5" x14ac:dyDescent="0.3">
      <c r="D312" s="1"/>
      <c r="E312" s="1"/>
    </row>
    <row r="313" spans="4:5" x14ac:dyDescent="0.3">
      <c r="D313" s="1"/>
      <c r="E313" s="1"/>
    </row>
    <row r="314" spans="4:5" x14ac:dyDescent="0.3">
      <c r="D314" s="1"/>
      <c r="E314" s="1"/>
    </row>
    <row r="315" spans="4:5" x14ac:dyDescent="0.3">
      <c r="D315" s="1"/>
      <c r="E315" s="1"/>
    </row>
    <row r="316" spans="4:5" x14ac:dyDescent="0.3">
      <c r="D316" s="1"/>
      <c r="E316" s="1"/>
    </row>
    <row r="317" spans="4:5" x14ac:dyDescent="0.3">
      <c r="D317" s="1"/>
      <c r="E317" s="1"/>
    </row>
    <row r="318" spans="4:5" x14ac:dyDescent="0.3">
      <c r="D318" s="1"/>
      <c r="E318" s="1"/>
    </row>
    <row r="319" spans="4:5" x14ac:dyDescent="0.3">
      <c r="D319" s="1"/>
      <c r="E319" s="1"/>
    </row>
    <row r="320" spans="4:5" x14ac:dyDescent="0.3">
      <c r="D320" s="1"/>
      <c r="E320" s="1"/>
    </row>
    <row r="321" spans="4:5" x14ac:dyDescent="0.3">
      <c r="D321" s="1"/>
      <c r="E321" s="1"/>
    </row>
    <row r="322" spans="4:5" x14ac:dyDescent="0.3">
      <c r="D322" s="1"/>
      <c r="E322" s="1"/>
    </row>
    <row r="323" spans="4:5" x14ac:dyDescent="0.3">
      <c r="D323" s="1"/>
      <c r="E323" s="1"/>
    </row>
    <row r="324" spans="4:5" x14ac:dyDescent="0.3">
      <c r="D324" s="1"/>
      <c r="E324" s="1"/>
    </row>
    <row r="325" spans="4:5" x14ac:dyDescent="0.3">
      <c r="D325" s="1"/>
      <c r="E325" s="1"/>
    </row>
    <row r="326" spans="4:5" x14ac:dyDescent="0.3">
      <c r="D326" s="1"/>
      <c r="E326" s="1"/>
    </row>
    <row r="327" spans="4:5" x14ac:dyDescent="0.3">
      <c r="D327" s="1"/>
      <c r="E327" s="1"/>
    </row>
    <row r="328" spans="4:5" x14ac:dyDescent="0.3">
      <c r="D328" s="1"/>
      <c r="E328" s="1"/>
    </row>
    <row r="329" spans="4:5" x14ac:dyDescent="0.3">
      <c r="D329" s="1"/>
      <c r="E329" s="1"/>
    </row>
    <row r="330" spans="4:5" x14ac:dyDescent="0.3">
      <c r="D330" s="1"/>
      <c r="E330" s="1"/>
    </row>
    <row r="331" spans="4:5" x14ac:dyDescent="0.3">
      <c r="D331" s="1"/>
      <c r="E331" s="1"/>
    </row>
    <row r="332" spans="4:5" x14ac:dyDescent="0.3">
      <c r="D332" s="1"/>
      <c r="E332" s="1"/>
    </row>
    <row r="333" spans="4:5" x14ac:dyDescent="0.3">
      <c r="D333" s="1"/>
      <c r="E333" s="1"/>
    </row>
    <row r="334" spans="4:5" x14ac:dyDescent="0.3">
      <c r="D334" s="1"/>
      <c r="E334" s="1"/>
    </row>
    <row r="335" spans="4:5" x14ac:dyDescent="0.3">
      <c r="D335" s="1"/>
      <c r="E335" s="1"/>
    </row>
    <row r="336" spans="4:5" x14ac:dyDescent="0.3">
      <c r="D336" s="1"/>
      <c r="E336" s="1"/>
    </row>
    <row r="337" spans="4:5" x14ac:dyDescent="0.3">
      <c r="D337" s="1"/>
      <c r="E337" s="1"/>
    </row>
    <row r="338" spans="4:5" x14ac:dyDescent="0.3">
      <c r="D338" s="1"/>
      <c r="E338" s="1"/>
    </row>
    <row r="339" spans="4:5" x14ac:dyDescent="0.3">
      <c r="D339" s="1"/>
      <c r="E339" s="1"/>
    </row>
    <row r="340" spans="4:5" x14ac:dyDescent="0.3">
      <c r="D340" s="1"/>
      <c r="E340" s="1"/>
    </row>
    <row r="341" spans="4:5" x14ac:dyDescent="0.3">
      <c r="D341" s="1"/>
      <c r="E341" s="1"/>
    </row>
    <row r="342" spans="4:5" x14ac:dyDescent="0.3">
      <c r="D342" s="1"/>
      <c r="E342" s="1"/>
    </row>
    <row r="343" spans="4:5" x14ac:dyDescent="0.3">
      <c r="D343" s="1"/>
      <c r="E343" s="1"/>
    </row>
    <row r="344" spans="4:5" x14ac:dyDescent="0.3">
      <c r="D344" s="1"/>
      <c r="E344" s="1"/>
    </row>
    <row r="345" spans="4:5" x14ac:dyDescent="0.3">
      <c r="D345" s="1"/>
      <c r="E345" s="1"/>
    </row>
    <row r="346" spans="4:5" x14ac:dyDescent="0.3">
      <c r="D346" s="1"/>
      <c r="E346" s="1"/>
    </row>
    <row r="347" spans="4:5" x14ac:dyDescent="0.3">
      <c r="D347" s="1"/>
      <c r="E347" s="1"/>
    </row>
    <row r="348" spans="4:5" x14ac:dyDescent="0.3">
      <c r="D348" s="1"/>
      <c r="E348" s="1"/>
    </row>
    <row r="349" spans="4:5" x14ac:dyDescent="0.3">
      <c r="D349" s="1"/>
      <c r="E349" s="1"/>
    </row>
    <row r="350" spans="4:5" x14ac:dyDescent="0.3">
      <c r="D350" s="1"/>
      <c r="E350" s="1"/>
    </row>
    <row r="351" spans="4:5" x14ac:dyDescent="0.3">
      <c r="D351" s="1"/>
      <c r="E351" s="1"/>
    </row>
    <row r="352" spans="4:5" x14ac:dyDescent="0.3">
      <c r="D352" s="1"/>
      <c r="E352" s="1"/>
    </row>
    <row r="353" spans="4:5" x14ac:dyDescent="0.3">
      <c r="D353" s="1"/>
      <c r="E353" s="1"/>
    </row>
    <row r="354" spans="4:5" x14ac:dyDescent="0.3">
      <c r="D354" s="1"/>
      <c r="E354" s="1"/>
    </row>
    <row r="355" spans="4:5" x14ac:dyDescent="0.3">
      <c r="D355" s="1"/>
      <c r="E355" s="1"/>
    </row>
    <row r="356" spans="4:5" x14ac:dyDescent="0.3">
      <c r="D356" s="1"/>
      <c r="E356" s="1"/>
    </row>
    <row r="357" spans="4:5" x14ac:dyDescent="0.3">
      <c r="D357" s="1"/>
      <c r="E357" s="1"/>
    </row>
    <row r="358" spans="4:5" x14ac:dyDescent="0.3">
      <c r="D358" s="1"/>
      <c r="E358" s="1"/>
    </row>
    <row r="359" spans="4:5" x14ac:dyDescent="0.3">
      <c r="D359" s="1"/>
      <c r="E359" s="1"/>
    </row>
    <row r="360" spans="4:5" x14ac:dyDescent="0.3">
      <c r="D360" s="1"/>
      <c r="E360" s="1"/>
    </row>
    <row r="361" spans="4:5" x14ac:dyDescent="0.3">
      <c r="D361" s="1"/>
      <c r="E361" s="1"/>
    </row>
    <row r="362" spans="4:5" x14ac:dyDescent="0.3">
      <c r="D362" s="1"/>
      <c r="E362" s="1"/>
    </row>
    <row r="363" spans="4:5" x14ac:dyDescent="0.3">
      <c r="D363" s="1"/>
      <c r="E363" s="1"/>
    </row>
    <row r="364" spans="4:5" x14ac:dyDescent="0.3">
      <c r="D364" s="1"/>
      <c r="E364" s="1"/>
    </row>
    <row r="365" spans="4:5" x14ac:dyDescent="0.3">
      <c r="D365" s="1"/>
      <c r="E365" s="1"/>
    </row>
    <row r="366" spans="4:5" x14ac:dyDescent="0.3">
      <c r="D366" s="1"/>
      <c r="E366" s="1"/>
    </row>
    <row r="367" spans="4:5" x14ac:dyDescent="0.3">
      <c r="D367" s="1"/>
      <c r="E367" s="1"/>
    </row>
    <row r="368" spans="4:5" x14ac:dyDescent="0.3">
      <c r="D368" s="1"/>
      <c r="E368" s="1"/>
    </row>
    <row r="369" spans="4:5" x14ac:dyDescent="0.3">
      <c r="D369" s="1"/>
      <c r="E369" s="1"/>
    </row>
    <row r="370" spans="4:5" x14ac:dyDescent="0.3">
      <c r="D370" s="1"/>
      <c r="E370" s="1"/>
    </row>
    <row r="371" spans="4:5" x14ac:dyDescent="0.3">
      <c r="D371" s="1"/>
      <c r="E371" s="1"/>
    </row>
    <row r="372" spans="4:5" x14ac:dyDescent="0.3">
      <c r="D372" s="1"/>
      <c r="E372" s="1"/>
    </row>
    <row r="373" spans="4:5" x14ac:dyDescent="0.3">
      <c r="D373" s="1"/>
      <c r="E373" s="1"/>
    </row>
    <row r="374" spans="4:5" x14ac:dyDescent="0.3">
      <c r="D374" s="1"/>
      <c r="E374" s="1"/>
    </row>
    <row r="375" spans="4:5" x14ac:dyDescent="0.3">
      <c r="D375" s="1"/>
      <c r="E375" s="1"/>
    </row>
    <row r="376" spans="4:5" x14ac:dyDescent="0.3">
      <c r="D376" s="1"/>
      <c r="E376" s="1"/>
    </row>
    <row r="377" spans="4:5" x14ac:dyDescent="0.3">
      <c r="D377" s="1"/>
      <c r="E377" s="1"/>
    </row>
    <row r="378" spans="4:5" x14ac:dyDescent="0.3">
      <c r="D378" s="1"/>
      <c r="E378" s="1"/>
    </row>
    <row r="379" spans="4:5" x14ac:dyDescent="0.3">
      <c r="D379" s="1"/>
      <c r="E379" s="1"/>
    </row>
    <row r="380" spans="4:5" x14ac:dyDescent="0.3">
      <c r="D380" s="1"/>
      <c r="E380" s="1"/>
    </row>
    <row r="381" spans="4:5" x14ac:dyDescent="0.3">
      <c r="D381" s="1"/>
      <c r="E381" s="1"/>
    </row>
    <row r="382" spans="4:5" x14ac:dyDescent="0.3">
      <c r="D382" s="1"/>
      <c r="E382" s="1"/>
    </row>
    <row r="383" spans="4:5" x14ac:dyDescent="0.3">
      <c r="D383" s="1"/>
      <c r="E383" s="1"/>
    </row>
    <row r="384" spans="4:5" x14ac:dyDescent="0.3">
      <c r="D384" s="1"/>
      <c r="E384" s="1"/>
    </row>
    <row r="385" spans="4:5" x14ac:dyDescent="0.3">
      <c r="D385" s="1"/>
      <c r="E385" s="1"/>
    </row>
    <row r="386" spans="4:5" x14ac:dyDescent="0.3">
      <c r="D386" s="1"/>
      <c r="E386" s="1"/>
    </row>
    <row r="387" spans="4:5" x14ac:dyDescent="0.3">
      <c r="D387" s="1"/>
      <c r="E387" s="1"/>
    </row>
    <row r="388" spans="4:5" x14ac:dyDescent="0.3">
      <c r="D388" s="1"/>
      <c r="E388" s="1"/>
    </row>
    <row r="389" spans="4:5" x14ac:dyDescent="0.3">
      <c r="D389" s="1"/>
      <c r="E389" s="1"/>
    </row>
    <row r="390" spans="4:5" x14ac:dyDescent="0.3">
      <c r="D390" s="1"/>
      <c r="E390" s="1"/>
    </row>
    <row r="391" spans="4:5" x14ac:dyDescent="0.3">
      <c r="D391" s="1"/>
      <c r="E391" s="1"/>
    </row>
    <row r="392" spans="4:5" x14ac:dyDescent="0.3">
      <c r="D392" s="1"/>
      <c r="E392" s="1"/>
    </row>
    <row r="393" spans="4:5" x14ac:dyDescent="0.3">
      <c r="D393" s="1"/>
      <c r="E393" s="1"/>
    </row>
    <row r="394" spans="4:5" x14ac:dyDescent="0.3">
      <c r="D394" s="1"/>
      <c r="E394" s="1"/>
    </row>
    <row r="395" spans="4:5" x14ac:dyDescent="0.3">
      <c r="D395" s="1"/>
      <c r="E395" s="1"/>
    </row>
    <row r="396" spans="4:5" x14ac:dyDescent="0.3">
      <c r="D396" s="1"/>
      <c r="E396" s="1"/>
    </row>
    <row r="397" spans="4:5" x14ac:dyDescent="0.3">
      <c r="D397" s="1"/>
      <c r="E397" s="1"/>
    </row>
    <row r="398" spans="4:5" x14ac:dyDescent="0.3">
      <c r="D398" s="1"/>
      <c r="E398" s="1"/>
    </row>
    <row r="399" spans="4:5" x14ac:dyDescent="0.3">
      <c r="D399" s="1"/>
      <c r="E399" s="1"/>
    </row>
    <row r="400" spans="4:5" x14ac:dyDescent="0.3">
      <c r="D400" s="1"/>
      <c r="E400" s="1"/>
    </row>
    <row r="401" spans="4:5" x14ac:dyDescent="0.3">
      <c r="D401" s="1"/>
      <c r="E401" s="1"/>
    </row>
    <row r="402" spans="4:5" x14ac:dyDescent="0.3">
      <c r="D402" s="1"/>
      <c r="E402" s="1"/>
    </row>
    <row r="403" spans="4:5" x14ac:dyDescent="0.3">
      <c r="D403" s="1"/>
      <c r="E403" s="1"/>
    </row>
    <row r="404" spans="4:5" x14ac:dyDescent="0.3">
      <c r="D404" s="1"/>
      <c r="E404" s="1"/>
    </row>
    <row r="405" spans="4:5" x14ac:dyDescent="0.3">
      <c r="D405" s="1"/>
      <c r="E405" s="1"/>
    </row>
    <row r="406" spans="4:5" x14ac:dyDescent="0.3">
      <c r="D406" s="1"/>
      <c r="E406" s="1"/>
    </row>
    <row r="407" spans="4:5" x14ac:dyDescent="0.3">
      <c r="D407" s="1"/>
      <c r="E407" s="1"/>
    </row>
    <row r="408" spans="4:5" x14ac:dyDescent="0.3">
      <c r="D408" s="1"/>
      <c r="E408" s="1"/>
    </row>
    <row r="409" spans="4:5" x14ac:dyDescent="0.3">
      <c r="D409" s="1"/>
      <c r="E409" s="1"/>
    </row>
    <row r="410" spans="4:5" x14ac:dyDescent="0.3">
      <c r="D410" s="1"/>
      <c r="E410" s="1"/>
    </row>
    <row r="411" spans="4:5" x14ac:dyDescent="0.3">
      <c r="D411" s="1"/>
      <c r="E411" s="1"/>
    </row>
    <row r="412" spans="4:5" x14ac:dyDescent="0.3">
      <c r="D412" s="1"/>
      <c r="E412" s="1"/>
    </row>
    <row r="413" spans="4:5" x14ac:dyDescent="0.3">
      <c r="D413" s="1"/>
      <c r="E413" s="1"/>
    </row>
    <row r="414" spans="4:5" x14ac:dyDescent="0.3">
      <c r="D414" s="1"/>
      <c r="E414" s="1"/>
    </row>
    <row r="415" spans="4:5" x14ac:dyDescent="0.3">
      <c r="D415" s="1"/>
      <c r="E415" s="1"/>
    </row>
    <row r="416" spans="4:5" x14ac:dyDescent="0.3">
      <c r="D416" s="1"/>
      <c r="E416" s="1"/>
    </row>
    <row r="417" spans="4:5" x14ac:dyDescent="0.3">
      <c r="D417" s="1"/>
      <c r="E417" s="1"/>
    </row>
    <row r="418" spans="4:5" x14ac:dyDescent="0.3">
      <c r="D418" s="1"/>
      <c r="E418" s="1"/>
    </row>
    <row r="419" spans="4:5" x14ac:dyDescent="0.3">
      <c r="D419" s="1"/>
      <c r="E419" s="1"/>
    </row>
    <row r="420" spans="4:5" x14ac:dyDescent="0.3">
      <c r="D420" s="1"/>
      <c r="E420" s="1"/>
    </row>
    <row r="421" spans="4:5" x14ac:dyDescent="0.3">
      <c r="D421" s="1"/>
      <c r="E421" s="1"/>
    </row>
    <row r="422" spans="4:5" x14ac:dyDescent="0.3">
      <c r="D422" s="1"/>
      <c r="E422" s="1"/>
    </row>
    <row r="423" spans="4:5" x14ac:dyDescent="0.3">
      <c r="D423" s="1"/>
      <c r="E423" s="1"/>
    </row>
    <row r="424" spans="4:5" x14ac:dyDescent="0.3">
      <c r="D424" s="1"/>
      <c r="E424" s="1"/>
    </row>
    <row r="425" spans="4:5" x14ac:dyDescent="0.3">
      <c r="D425" s="1"/>
      <c r="E425" s="1"/>
    </row>
    <row r="426" spans="4:5" x14ac:dyDescent="0.3">
      <c r="D426" s="1"/>
      <c r="E426" s="1"/>
    </row>
    <row r="427" spans="4:5" x14ac:dyDescent="0.3">
      <c r="D427" s="1"/>
      <c r="E427" s="1"/>
    </row>
    <row r="428" spans="4:5" x14ac:dyDescent="0.3">
      <c r="D428" s="1"/>
      <c r="E428" s="1"/>
    </row>
    <row r="429" spans="4:5" x14ac:dyDescent="0.3">
      <c r="D429" s="1"/>
      <c r="E429" s="1"/>
    </row>
    <row r="430" spans="4:5" x14ac:dyDescent="0.3">
      <c r="D430" s="1"/>
      <c r="E430" s="1"/>
    </row>
    <row r="431" spans="4:5" x14ac:dyDescent="0.3">
      <c r="D431" s="1"/>
      <c r="E431" s="1"/>
    </row>
    <row r="432" spans="4:5" x14ac:dyDescent="0.3">
      <c r="D432" s="1"/>
      <c r="E432" s="1"/>
    </row>
    <row r="433" spans="4:5" x14ac:dyDescent="0.3">
      <c r="D433" s="1"/>
      <c r="E433" s="1"/>
    </row>
    <row r="434" spans="4:5" x14ac:dyDescent="0.3">
      <c r="D434" s="1"/>
      <c r="E434" s="1"/>
    </row>
    <row r="435" spans="4:5" x14ac:dyDescent="0.3">
      <c r="D435" s="1"/>
      <c r="E435" s="1"/>
    </row>
    <row r="436" spans="4:5" x14ac:dyDescent="0.3">
      <c r="D436" s="1"/>
      <c r="E436" s="1"/>
    </row>
    <row r="437" spans="4:5" x14ac:dyDescent="0.3">
      <c r="D437" s="1"/>
      <c r="E437" s="1"/>
    </row>
    <row r="438" spans="4:5" x14ac:dyDescent="0.3">
      <c r="D438" s="1"/>
      <c r="E438" s="1"/>
    </row>
    <row r="439" spans="4:5" x14ac:dyDescent="0.3">
      <c r="D439" s="1"/>
      <c r="E439" s="1"/>
    </row>
    <row r="440" spans="4:5" x14ac:dyDescent="0.3">
      <c r="D440" s="1"/>
      <c r="E440" s="1"/>
    </row>
    <row r="441" spans="4:5" x14ac:dyDescent="0.3">
      <c r="D441" s="1"/>
      <c r="E441" s="1"/>
    </row>
    <row r="442" spans="4:5" x14ac:dyDescent="0.3">
      <c r="D442" s="1"/>
      <c r="E442" s="1"/>
    </row>
    <row r="443" spans="4:5" x14ac:dyDescent="0.3">
      <c r="D443" s="1"/>
      <c r="E443" s="1"/>
    </row>
    <row r="444" spans="4:5" x14ac:dyDescent="0.3">
      <c r="D444" s="1"/>
      <c r="E444" s="1"/>
    </row>
    <row r="445" spans="4:5" x14ac:dyDescent="0.3">
      <c r="D445" s="1"/>
      <c r="E445" s="1"/>
    </row>
    <row r="446" spans="4:5" x14ac:dyDescent="0.3">
      <c r="D446" s="1"/>
      <c r="E446" s="1"/>
    </row>
    <row r="447" spans="4:5" x14ac:dyDescent="0.3">
      <c r="D447" s="1"/>
      <c r="E447" s="1"/>
    </row>
    <row r="448" spans="4:5" x14ac:dyDescent="0.3">
      <c r="D448" s="1"/>
      <c r="E448" s="1"/>
    </row>
    <row r="449" spans="4:5" x14ac:dyDescent="0.3">
      <c r="D449" s="1"/>
      <c r="E449" s="1"/>
    </row>
    <row r="450" spans="4:5" x14ac:dyDescent="0.3">
      <c r="D450" s="1"/>
      <c r="E450" s="1"/>
    </row>
    <row r="451" spans="4:5" x14ac:dyDescent="0.3">
      <c r="D451" s="1"/>
      <c r="E451" s="1"/>
    </row>
    <row r="452" spans="4:5" x14ac:dyDescent="0.3">
      <c r="D452" s="1"/>
      <c r="E452" s="1"/>
    </row>
    <row r="453" spans="4:5" x14ac:dyDescent="0.3">
      <c r="D453" s="1"/>
      <c r="E453" s="1"/>
    </row>
    <row r="454" spans="4:5" x14ac:dyDescent="0.3">
      <c r="D454" s="1"/>
      <c r="E454" s="1"/>
    </row>
    <row r="455" spans="4:5" x14ac:dyDescent="0.3">
      <c r="D455" s="1"/>
      <c r="E455" s="1"/>
    </row>
    <row r="456" spans="4:5" x14ac:dyDescent="0.3">
      <c r="D456" s="1"/>
      <c r="E456" s="1"/>
    </row>
    <row r="457" spans="4:5" x14ac:dyDescent="0.3">
      <c r="D457" s="1"/>
      <c r="E457" s="1"/>
    </row>
    <row r="458" spans="4:5" x14ac:dyDescent="0.3">
      <c r="D458" s="1"/>
      <c r="E458" s="1"/>
    </row>
    <row r="459" spans="4:5" x14ac:dyDescent="0.3">
      <c r="D459" s="1"/>
      <c r="E459" s="1"/>
    </row>
    <row r="460" spans="4:5" x14ac:dyDescent="0.3">
      <c r="D460" s="1"/>
      <c r="E460" s="1"/>
    </row>
    <row r="461" spans="4:5" x14ac:dyDescent="0.3">
      <c r="D461" s="1"/>
      <c r="E461" s="1"/>
    </row>
    <row r="462" spans="4:5" x14ac:dyDescent="0.3">
      <c r="D462" s="1"/>
      <c r="E462" s="1"/>
    </row>
    <row r="463" spans="4:5" x14ac:dyDescent="0.3">
      <c r="D463" s="1"/>
      <c r="E463" s="1"/>
    </row>
    <row r="464" spans="4:5" x14ac:dyDescent="0.3">
      <c r="D464" s="1"/>
      <c r="E464" s="1"/>
    </row>
    <row r="465" spans="4:5" x14ac:dyDescent="0.3">
      <c r="D465" s="1"/>
      <c r="E465" s="1"/>
    </row>
    <row r="466" spans="4:5" x14ac:dyDescent="0.3">
      <c r="D466" s="1"/>
      <c r="E466" s="1"/>
    </row>
    <row r="467" spans="4:5" x14ac:dyDescent="0.3">
      <c r="D467" s="1"/>
      <c r="E467" s="1"/>
    </row>
    <row r="468" spans="4:5" x14ac:dyDescent="0.3">
      <c r="D468" s="1"/>
      <c r="E468" s="1"/>
    </row>
    <row r="469" spans="4:5" x14ac:dyDescent="0.3">
      <c r="D469" s="1"/>
      <c r="E469" s="1"/>
    </row>
    <row r="470" spans="4:5" x14ac:dyDescent="0.3">
      <c r="D470" s="1"/>
      <c r="E470" s="1"/>
    </row>
    <row r="471" spans="4:5" x14ac:dyDescent="0.3">
      <c r="D471" s="1"/>
      <c r="E471" s="1"/>
    </row>
    <row r="472" spans="4:5" x14ac:dyDescent="0.3">
      <c r="D472" s="1"/>
      <c r="E472" s="1"/>
    </row>
    <row r="473" spans="4:5" x14ac:dyDescent="0.3">
      <c r="D473" s="1"/>
      <c r="E473" s="1"/>
    </row>
    <row r="474" spans="4:5" x14ac:dyDescent="0.3">
      <c r="D474" s="1"/>
      <c r="E474" s="1"/>
    </row>
    <row r="475" spans="4:5" x14ac:dyDescent="0.3">
      <c r="D475" s="1"/>
      <c r="E475" s="1"/>
    </row>
    <row r="476" spans="4:5" x14ac:dyDescent="0.3">
      <c r="D476" s="1"/>
      <c r="E476" s="1"/>
    </row>
    <row r="477" spans="4:5" x14ac:dyDescent="0.3">
      <c r="D477" s="1"/>
      <c r="E477" s="1"/>
    </row>
    <row r="478" spans="4:5" x14ac:dyDescent="0.3">
      <c r="D478" s="1"/>
      <c r="E478" s="1"/>
    </row>
    <row r="479" spans="4:5" x14ac:dyDescent="0.3">
      <c r="D479" s="1"/>
      <c r="E479" s="1"/>
    </row>
    <row r="480" spans="4:5" x14ac:dyDescent="0.3">
      <c r="D480" s="1"/>
      <c r="E480" s="1"/>
    </row>
    <row r="481" spans="4:5" x14ac:dyDescent="0.3">
      <c r="D481" s="1"/>
      <c r="E481" s="1"/>
    </row>
    <row r="482" spans="4:5" x14ac:dyDescent="0.3">
      <c r="D482" s="1"/>
      <c r="E482" s="1"/>
    </row>
    <row r="483" spans="4:5" x14ac:dyDescent="0.3">
      <c r="D483" s="1"/>
      <c r="E483" s="1"/>
    </row>
    <row r="484" spans="4:5" x14ac:dyDescent="0.3">
      <c r="D484" s="1"/>
      <c r="E484" s="1"/>
    </row>
    <row r="485" spans="4:5" x14ac:dyDescent="0.3">
      <c r="D485" s="1"/>
      <c r="E485" s="1"/>
    </row>
    <row r="486" spans="4:5" x14ac:dyDescent="0.3">
      <c r="D486" s="1"/>
      <c r="E486" s="1"/>
    </row>
    <row r="487" spans="4:5" x14ac:dyDescent="0.3">
      <c r="D487" s="1"/>
      <c r="E487" s="1"/>
    </row>
    <row r="488" spans="4:5" x14ac:dyDescent="0.3">
      <c r="D488" s="1"/>
      <c r="E488" s="1"/>
    </row>
    <row r="489" spans="4:5" x14ac:dyDescent="0.3">
      <c r="D489" s="1"/>
      <c r="E489" s="1"/>
    </row>
    <row r="490" spans="4:5" x14ac:dyDescent="0.3">
      <c r="D490" s="1"/>
      <c r="E490" s="1"/>
    </row>
    <row r="491" spans="4:5" x14ac:dyDescent="0.3">
      <c r="D491" s="1"/>
      <c r="E491" s="1"/>
    </row>
    <row r="492" spans="4:5" x14ac:dyDescent="0.3">
      <c r="D492" s="1"/>
      <c r="E492" s="1"/>
    </row>
    <row r="493" spans="4:5" x14ac:dyDescent="0.3">
      <c r="D493" s="1"/>
      <c r="E493" s="1"/>
    </row>
    <row r="494" spans="4:5" x14ac:dyDescent="0.3">
      <c r="D494" s="1"/>
      <c r="E494" s="1"/>
    </row>
    <row r="495" spans="4:5" x14ac:dyDescent="0.3">
      <c r="D495" s="1"/>
      <c r="E495" s="1"/>
    </row>
    <row r="496" spans="4:5" x14ac:dyDescent="0.3">
      <c r="D496" s="1"/>
      <c r="E496" s="1"/>
    </row>
    <row r="497" spans="4:5" x14ac:dyDescent="0.3">
      <c r="D497" s="1"/>
      <c r="E497" s="1"/>
    </row>
    <row r="498" spans="4:5" x14ac:dyDescent="0.3">
      <c r="D498" s="1"/>
      <c r="E498" s="1"/>
    </row>
    <row r="499" spans="4:5" x14ac:dyDescent="0.3">
      <c r="D499" s="1"/>
      <c r="E499" s="1"/>
    </row>
    <row r="500" spans="4:5" x14ac:dyDescent="0.3">
      <c r="D500" s="1"/>
      <c r="E500" s="1"/>
    </row>
    <row r="501" spans="4:5" x14ac:dyDescent="0.3">
      <c r="D501" s="1"/>
      <c r="E501" s="1"/>
    </row>
    <row r="502" spans="4:5" x14ac:dyDescent="0.3">
      <c r="D502" s="1"/>
      <c r="E502" s="1"/>
    </row>
    <row r="503" spans="4:5" x14ac:dyDescent="0.3">
      <c r="D503" s="1"/>
      <c r="E503" s="1"/>
    </row>
    <row r="504" spans="4:5" x14ac:dyDescent="0.3">
      <c r="D504" s="1"/>
      <c r="E504" s="1"/>
    </row>
    <row r="505" spans="4:5" x14ac:dyDescent="0.3">
      <c r="D505" s="1"/>
      <c r="E505" s="1"/>
    </row>
    <row r="506" spans="4:5" x14ac:dyDescent="0.3">
      <c r="D506" s="1"/>
      <c r="E506" s="1"/>
    </row>
    <row r="507" spans="4:5" x14ac:dyDescent="0.3">
      <c r="D507" s="1"/>
      <c r="E507" s="1"/>
    </row>
    <row r="508" spans="4:5" x14ac:dyDescent="0.3">
      <c r="D508" s="1"/>
      <c r="E508" s="1"/>
    </row>
    <row r="509" spans="4:5" x14ac:dyDescent="0.3">
      <c r="D509" s="1"/>
      <c r="E509" s="1"/>
    </row>
    <row r="510" spans="4:5" x14ac:dyDescent="0.3">
      <c r="D510" s="1"/>
      <c r="E510" s="1"/>
    </row>
    <row r="511" spans="4:5" x14ac:dyDescent="0.3">
      <c r="D511" s="1"/>
      <c r="E511" s="1"/>
    </row>
    <row r="512" spans="4:5" x14ac:dyDescent="0.3">
      <c r="D512" s="1"/>
      <c r="E512" s="1"/>
    </row>
    <row r="513" spans="4:5" x14ac:dyDescent="0.3">
      <c r="D513" s="1"/>
      <c r="E513" s="1"/>
    </row>
    <row r="514" spans="4:5" x14ac:dyDescent="0.3">
      <c r="D514" s="1"/>
      <c r="E514" s="1"/>
    </row>
    <row r="515" spans="4:5" x14ac:dyDescent="0.3">
      <c r="D515" s="1"/>
      <c r="E515" s="1"/>
    </row>
    <row r="516" spans="4:5" x14ac:dyDescent="0.3">
      <c r="D516" s="1"/>
      <c r="E516" s="1"/>
    </row>
    <row r="517" spans="4:5" x14ac:dyDescent="0.3">
      <c r="D517" s="1"/>
      <c r="E517" s="1"/>
    </row>
    <row r="518" spans="4:5" x14ac:dyDescent="0.3">
      <c r="D518" s="1"/>
      <c r="E518" s="1"/>
    </row>
    <row r="519" spans="4:5" x14ac:dyDescent="0.3">
      <c r="D519" s="1"/>
      <c r="E519" s="1"/>
    </row>
    <row r="520" spans="4:5" x14ac:dyDescent="0.3">
      <c r="D520" s="1"/>
      <c r="E520" s="1"/>
    </row>
    <row r="521" spans="4:5" x14ac:dyDescent="0.3">
      <c r="D521" s="1"/>
      <c r="E521" s="1"/>
    </row>
    <row r="522" spans="4:5" x14ac:dyDescent="0.3">
      <c r="D522" s="1"/>
      <c r="E522" s="1"/>
    </row>
    <row r="523" spans="4:5" x14ac:dyDescent="0.3">
      <c r="D523" s="1"/>
      <c r="E523" s="1"/>
    </row>
    <row r="524" spans="4:5" x14ac:dyDescent="0.3">
      <c r="D524" s="1"/>
      <c r="E524" s="1"/>
    </row>
    <row r="525" spans="4:5" x14ac:dyDescent="0.3">
      <c r="D525" s="1"/>
      <c r="E525" s="1"/>
    </row>
    <row r="526" spans="4:5" x14ac:dyDescent="0.3">
      <c r="D526" s="1"/>
      <c r="E526" s="1"/>
    </row>
    <row r="527" spans="4:5" x14ac:dyDescent="0.3">
      <c r="D527" s="1"/>
      <c r="E527" s="1"/>
    </row>
    <row r="528" spans="4:5" x14ac:dyDescent="0.3">
      <c r="D528" s="1"/>
      <c r="E528" s="1"/>
    </row>
    <row r="529" spans="4:5" x14ac:dyDescent="0.3">
      <c r="D529" s="1"/>
      <c r="E529" s="1"/>
    </row>
    <row r="530" spans="4:5" x14ac:dyDescent="0.3">
      <c r="D530" s="1"/>
      <c r="E530" s="1"/>
    </row>
    <row r="531" spans="4:5" x14ac:dyDescent="0.3">
      <c r="D531" s="1"/>
      <c r="E531" s="1"/>
    </row>
    <row r="532" spans="4:5" x14ac:dyDescent="0.3">
      <c r="D532" s="1"/>
      <c r="E532" s="1"/>
    </row>
    <row r="533" spans="4:5" x14ac:dyDescent="0.3">
      <c r="D533" s="1"/>
      <c r="E533" s="1"/>
    </row>
    <row r="534" spans="4:5" x14ac:dyDescent="0.3">
      <c r="D534" s="1"/>
      <c r="E534" s="1"/>
    </row>
    <row r="535" spans="4:5" x14ac:dyDescent="0.3">
      <c r="D535" s="1"/>
      <c r="E535" s="1"/>
    </row>
    <row r="536" spans="4:5" x14ac:dyDescent="0.3">
      <c r="D536" s="1"/>
      <c r="E536" s="1"/>
    </row>
    <row r="537" spans="4:5" x14ac:dyDescent="0.3">
      <c r="D537" s="1"/>
      <c r="E537" s="1"/>
    </row>
    <row r="538" spans="4:5" x14ac:dyDescent="0.3">
      <c r="D538" s="1"/>
      <c r="E538" s="1"/>
    </row>
    <row r="539" spans="4:5" x14ac:dyDescent="0.3">
      <c r="D539" s="1"/>
      <c r="E539" s="1"/>
    </row>
    <row r="540" spans="4:5" x14ac:dyDescent="0.3">
      <c r="D540" s="1"/>
      <c r="E540" s="1"/>
    </row>
    <row r="541" spans="4:5" x14ac:dyDescent="0.3">
      <c r="D541" s="1"/>
      <c r="E541" s="1"/>
    </row>
    <row r="542" spans="4:5" x14ac:dyDescent="0.3">
      <c r="D542" s="1"/>
      <c r="E542" s="1"/>
    </row>
    <row r="543" spans="4:5" x14ac:dyDescent="0.3">
      <c r="D543" s="1"/>
      <c r="E543" s="1"/>
    </row>
    <row r="544" spans="4:5" x14ac:dyDescent="0.3">
      <c r="D544" s="1"/>
      <c r="E544" s="1"/>
    </row>
    <row r="545" spans="4:5" x14ac:dyDescent="0.3">
      <c r="D545" s="1"/>
      <c r="E545" s="1"/>
    </row>
    <row r="546" spans="4:5" x14ac:dyDescent="0.3">
      <c r="D546" s="1"/>
      <c r="E546" s="1"/>
    </row>
    <row r="547" spans="4:5" x14ac:dyDescent="0.3">
      <c r="D547" s="1"/>
      <c r="E547" s="1"/>
    </row>
    <row r="548" spans="4:5" x14ac:dyDescent="0.3">
      <c r="D548" s="1"/>
      <c r="E548" s="1"/>
    </row>
    <row r="549" spans="4:5" x14ac:dyDescent="0.3">
      <c r="D549" s="1"/>
      <c r="E549" s="1"/>
    </row>
    <row r="550" spans="4:5" x14ac:dyDescent="0.3">
      <c r="D550" s="1"/>
      <c r="E550" s="1"/>
    </row>
    <row r="551" spans="4:5" x14ac:dyDescent="0.3">
      <c r="D551" s="1"/>
      <c r="E551" s="1"/>
    </row>
    <row r="552" spans="4:5" x14ac:dyDescent="0.3">
      <c r="D552" s="1"/>
      <c r="E552" s="1"/>
    </row>
    <row r="553" spans="4:5" x14ac:dyDescent="0.3">
      <c r="D553" s="1"/>
      <c r="E553" s="1"/>
    </row>
    <row r="554" spans="4:5" x14ac:dyDescent="0.3">
      <c r="D554" s="1"/>
      <c r="E554" s="1"/>
    </row>
    <row r="555" spans="4:5" x14ac:dyDescent="0.3">
      <c r="D555" s="1"/>
      <c r="E555" s="1"/>
    </row>
    <row r="556" spans="4:5" x14ac:dyDescent="0.3">
      <c r="D556" s="1"/>
      <c r="E556" s="1"/>
    </row>
    <row r="557" spans="4:5" x14ac:dyDescent="0.3">
      <c r="D557" s="1"/>
      <c r="E557" s="1"/>
    </row>
    <row r="558" spans="4:5" x14ac:dyDescent="0.3">
      <c r="D558" s="1"/>
      <c r="E558" s="1"/>
    </row>
    <row r="559" spans="4:5" x14ac:dyDescent="0.3">
      <c r="D559" s="1"/>
      <c r="E559" s="1"/>
    </row>
    <row r="560" spans="4:5" x14ac:dyDescent="0.3">
      <c r="D560" s="1"/>
      <c r="E560" s="1"/>
    </row>
    <row r="561" spans="4:5" x14ac:dyDescent="0.3">
      <c r="D561" s="1"/>
      <c r="E561" s="1"/>
    </row>
    <row r="562" spans="4:5" x14ac:dyDescent="0.3">
      <c r="D562" s="1"/>
      <c r="E562" s="1"/>
    </row>
    <row r="563" spans="4:5" x14ac:dyDescent="0.3">
      <c r="D563" s="1"/>
      <c r="E563" s="1"/>
    </row>
    <row r="564" spans="4:5" x14ac:dyDescent="0.3">
      <c r="D564" s="1"/>
      <c r="E564" s="1"/>
    </row>
    <row r="565" spans="4:5" x14ac:dyDescent="0.3">
      <c r="D565" s="1"/>
      <c r="E565" s="1"/>
    </row>
    <row r="566" spans="4:5" x14ac:dyDescent="0.3">
      <c r="D566" s="1"/>
      <c r="E566" s="1"/>
    </row>
    <row r="567" spans="4:5" x14ac:dyDescent="0.3">
      <c r="D567" s="1"/>
      <c r="E567" s="1"/>
    </row>
    <row r="568" spans="4:5" x14ac:dyDescent="0.3">
      <c r="D568" s="1"/>
      <c r="E568" s="1"/>
    </row>
    <row r="569" spans="4:5" x14ac:dyDescent="0.3">
      <c r="D569" s="1"/>
      <c r="E569" s="1"/>
    </row>
    <row r="570" spans="4:5" x14ac:dyDescent="0.3">
      <c r="D570" s="1"/>
      <c r="E570" s="1"/>
    </row>
    <row r="571" spans="4:5" x14ac:dyDescent="0.3">
      <c r="D571" s="1"/>
      <c r="E571" s="1"/>
    </row>
    <row r="572" spans="4:5" x14ac:dyDescent="0.3">
      <c r="D572" s="1"/>
      <c r="E572" s="1"/>
    </row>
    <row r="573" spans="4:5" x14ac:dyDescent="0.3">
      <c r="D573" s="1"/>
      <c r="E573" s="1"/>
    </row>
    <row r="574" spans="4:5" x14ac:dyDescent="0.3">
      <c r="D574" s="1"/>
      <c r="E574" s="1"/>
    </row>
    <row r="575" spans="4:5" x14ac:dyDescent="0.3">
      <c r="D575" s="1"/>
      <c r="E575" s="1"/>
    </row>
    <row r="576" spans="4:5" x14ac:dyDescent="0.3">
      <c r="D576" s="1"/>
      <c r="E576" s="1"/>
    </row>
    <row r="577" spans="4:5" x14ac:dyDescent="0.3">
      <c r="D577" s="1"/>
      <c r="E577" s="1"/>
    </row>
    <row r="578" spans="4:5" x14ac:dyDescent="0.3">
      <c r="D578" s="1"/>
      <c r="E578" s="1"/>
    </row>
    <row r="579" spans="4:5" x14ac:dyDescent="0.3">
      <c r="D579" s="1"/>
      <c r="E579" s="1"/>
    </row>
    <row r="580" spans="4:5" x14ac:dyDescent="0.3">
      <c r="D580" s="1"/>
      <c r="E580" s="1"/>
    </row>
    <row r="581" spans="4:5" x14ac:dyDescent="0.3">
      <c r="D581" s="1"/>
      <c r="E581" s="1"/>
    </row>
    <row r="582" spans="4:5" x14ac:dyDescent="0.3">
      <c r="D582" s="1"/>
      <c r="E582" s="1"/>
    </row>
    <row r="583" spans="4:5" x14ac:dyDescent="0.3">
      <c r="D583" s="1"/>
      <c r="E583" s="1"/>
    </row>
    <row r="584" spans="4:5" x14ac:dyDescent="0.3">
      <c r="D584" s="1"/>
      <c r="E584" s="1"/>
    </row>
    <row r="585" spans="4:5" x14ac:dyDescent="0.3">
      <c r="D585" s="1"/>
      <c r="E585" s="1"/>
    </row>
    <row r="586" spans="4:5" x14ac:dyDescent="0.3">
      <c r="D586" s="1"/>
      <c r="E586" s="1"/>
    </row>
    <row r="587" spans="4:5" x14ac:dyDescent="0.3">
      <c r="D587" s="1"/>
      <c r="E587" s="1"/>
    </row>
    <row r="588" spans="4:5" x14ac:dyDescent="0.3">
      <c r="D588" s="1"/>
      <c r="E588" s="1"/>
    </row>
    <row r="589" spans="4:5" x14ac:dyDescent="0.3">
      <c r="D589" s="1"/>
      <c r="E589" s="1"/>
    </row>
    <row r="590" spans="4:5" x14ac:dyDescent="0.3">
      <c r="D590" s="1"/>
      <c r="E590" s="1"/>
    </row>
    <row r="591" spans="4:5" x14ac:dyDescent="0.3">
      <c r="D591" s="1"/>
      <c r="E591" s="1"/>
    </row>
    <row r="592" spans="4:5" x14ac:dyDescent="0.3">
      <c r="D592" s="1"/>
      <c r="E592" s="1"/>
    </row>
    <row r="593" spans="4:5" x14ac:dyDescent="0.3">
      <c r="D593" s="1"/>
      <c r="E593" s="1"/>
    </row>
    <row r="594" spans="4:5" x14ac:dyDescent="0.3">
      <c r="D594" s="1"/>
      <c r="E594" s="1"/>
    </row>
    <row r="595" spans="4:5" x14ac:dyDescent="0.3">
      <c r="D595" s="1"/>
      <c r="E595" s="1"/>
    </row>
    <row r="596" spans="4:5" x14ac:dyDescent="0.3">
      <c r="D596" s="1"/>
      <c r="E596" s="1"/>
    </row>
    <row r="597" spans="4:5" x14ac:dyDescent="0.3">
      <c r="D597" s="1"/>
      <c r="E597" s="1"/>
    </row>
    <row r="598" spans="4:5" x14ac:dyDescent="0.3">
      <c r="D598" s="1"/>
      <c r="E598" s="1"/>
    </row>
    <row r="599" spans="4:5" x14ac:dyDescent="0.3">
      <c r="D599" s="1"/>
      <c r="E599" s="1"/>
    </row>
    <row r="600" spans="4:5" x14ac:dyDescent="0.3">
      <c r="D600" s="1"/>
      <c r="E600" s="1"/>
    </row>
    <row r="601" spans="4:5" x14ac:dyDescent="0.3">
      <c r="D601" s="1"/>
      <c r="E601" s="1"/>
    </row>
    <row r="602" spans="4:5" x14ac:dyDescent="0.3">
      <c r="D602" s="1"/>
      <c r="E602" s="1"/>
    </row>
    <row r="603" spans="4:5" x14ac:dyDescent="0.3">
      <c r="D603" s="1"/>
      <c r="E603" s="1"/>
    </row>
    <row r="604" spans="4:5" x14ac:dyDescent="0.3">
      <c r="D604" s="1"/>
      <c r="E604" s="1"/>
    </row>
    <row r="605" spans="4:5" x14ac:dyDescent="0.3">
      <c r="D605" s="1"/>
      <c r="E605" s="1"/>
    </row>
    <row r="606" spans="4:5" x14ac:dyDescent="0.3">
      <c r="D606" s="1"/>
      <c r="E606" s="1"/>
    </row>
    <row r="607" spans="4:5" x14ac:dyDescent="0.3">
      <c r="D607" s="1"/>
      <c r="E607" s="1"/>
    </row>
    <row r="608" spans="4:5" x14ac:dyDescent="0.3">
      <c r="D608" s="1"/>
      <c r="E608" s="1"/>
    </row>
    <row r="609" spans="4:5" x14ac:dyDescent="0.3">
      <c r="D609" s="1"/>
      <c r="E609" s="1"/>
    </row>
    <row r="610" spans="4:5" x14ac:dyDescent="0.3">
      <c r="D610" s="1"/>
      <c r="E610" s="1"/>
    </row>
    <row r="611" spans="4:5" x14ac:dyDescent="0.3">
      <c r="D611" s="1"/>
      <c r="E611" s="1"/>
    </row>
    <row r="612" spans="4:5" x14ac:dyDescent="0.3">
      <c r="D612" s="1"/>
      <c r="E612" s="1"/>
    </row>
    <row r="613" spans="4:5" x14ac:dyDescent="0.3">
      <c r="D613" s="1"/>
      <c r="E613" s="1"/>
    </row>
    <row r="614" spans="4:5" x14ac:dyDescent="0.3">
      <c r="D614" s="1"/>
      <c r="E614" s="1"/>
    </row>
    <row r="615" spans="4:5" x14ac:dyDescent="0.3">
      <c r="D615" s="1"/>
      <c r="E615" s="1"/>
    </row>
    <row r="616" spans="4:5" x14ac:dyDescent="0.3">
      <c r="D616" s="1"/>
      <c r="E616" s="1"/>
    </row>
    <row r="617" spans="4:5" x14ac:dyDescent="0.3">
      <c r="D617" s="1"/>
      <c r="E617" s="1"/>
    </row>
    <row r="618" spans="4:5" x14ac:dyDescent="0.3">
      <c r="D618" s="1"/>
      <c r="E618" s="1"/>
    </row>
    <row r="619" spans="4:5" x14ac:dyDescent="0.3">
      <c r="D619" s="1"/>
      <c r="E619" s="1"/>
    </row>
    <row r="620" spans="4:5" x14ac:dyDescent="0.3">
      <c r="D620" s="1"/>
      <c r="E620" s="1"/>
    </row>
    <row r="621" spans="4:5" x14ac:dyDescent="0.3">
      <c r="D621" s="1"/>
      <c r="E621" s="1"/>
    </row>
    <row r="622" spans="4:5" x14ac:dyDescent="0.3">
      <c r="D622" s="1"/>
      <c r="E622" s="1"/>
    </row>
    <row r="623" spans="4:5" x14ac:dyDescent="0.3">
      <c r="D623" s="1"/>
      <c r="E623" s="1"/>
    </row>
    <row r="624" spans="4:5" x14ac:dyDescent="0.3">
      <c r="D624" s="1"/>
      <c r="E624" s="1"/>
    </row>
    <row r="625" spans="4:5" x14ac:dyDescent="0.3">
      <c r="D625" s="1"/>
      <c r="E625" s="1"/>
    </row>
    <row r="626" spans="4:5" x14ac:dyDescent="0.3">
      <c r="D626" s="1"/>
      <c r="E626" s="1"/>
    </row>
    <row r="627" spans="4:5" x14ac:dyDescent="0.3">
      <c r="D627" s="1"/>
      <c r="E627" s="1"/>
    </row>
    <row r="628" spans="4:5" x14ac:dyDescent="0.3">
      <c r="D628" s="1"/>
      <c r="E628" s="1"/>
    </row>
    <row r="629" spans="4:5" x14ac:dyDescent="0.3">
      <c r="D629" s="1"/>
      <c r="E629" s="1"/>
    </row>
    <row r="630" spans="4:5" x14ac:dyDescent="0.3">
      <c r="D630" s="1"/>
      <c r="E630" s="1"/>
    </row>
    <row r="631" spans="4:5" x14ac:dyDescent="0.3">
      <c r="D631" s="1"/>
      <c r="E631" s="1"/>
    </row>
    <row r="632" spans="4:5" x14ac:dyDescent="0.3">
      <c r="D632" s="1"/>
      <c r="E632" s="1"/>
    </row>
    <row r="633" spans="4:5" x14ac:dyDescent="0.3">
      <c r="D633" s="1"/>
      <c r="E633" s="1"/>
    </row>
    <row r="634" spans="4:5" x14ac:dyDescent="0.3">
      <c r="D634" s="1"/>
      <c r="E634" s="1"/>
    </row>
    <row r="635" spans="4:5" x14ac:dyDescent="0.3">
      <c r="D635" s="1"/>
      <c r="E635" s="1"/>
    </row>
    <row r="636" spans="4:5" x14ac:dyDescent="0.3">
      <c r="D636" s="1"/>
      <c r="E636" s="1"/>
    </row>
    <row r="637" spans="4:5" x14ac:dyDescent="0.3">
      <c r="D637" s="1"/>
      <c r="E637" s="1"/>
    </row>
    <row r="638" spans="4:5" x14ac:dyDescent="0.3">
      <c r="D638" s="1"/>
      <c r="E638" s="1"/>
    </row>
    <row r="639" spans="4:5" x14ac:dyDescent="0.3">
      <c r="D639" s="1"/>
      <c r="E639" s="1"/>
    </row>
    <row r="640" spans="4:5" x14ac:dyDescent="0.3">
      <c r="D640" s="1"/>
      <c r="E640" s="1"/>
    </row>
    <row r="641" spans="4:5" x14ac:dyDescent="0.3">
      <c r="D641" s="1"/>
      <c r="E641" s="1"/>
    </row>
    <row r="642" spans="4:5" x14ac:dyDescent="0.3">
      <c r="D642" s="1"/>
      <c r="E642" s="1"/>
    </row>
    <row r="643" spans="4:5" x14ac:dyDescent="0.3">
      <c r="D643" s="1"/>
      <c r="E643" s="1"/>
    </row>
    <row r="644" spans="4:5" x14ac:dyDescent="0.3">
      <c r="D644" s="1"/>
      <c r="E644" s="1"/>
    </row>
    <row r="645" spans="4:5" x14ac:dyDescent="0.3">
      <c r="D645" s="1"/>
      <c r="E645" s="1"/>
    </row>
    <row r="646" spans="4:5" x14ac:dyDescent="0.3">
      <c r="D646" s="1"/>
      <c r="E646" s="1"/>
    </row>
    <row r="647" spans="4:5" x14ac:dyDescent="0.3">
      <c r="D647" s="1"/>
      <c r="E647" s="1"/>
    </row>
    <row r="648" spans="4:5" x14ac:dyDescent="0.3">
      <c r="D648" s="1"/>
      <c r="E648" s="1"/>
    </row>
    <row r="649" spans="4:5" x14ac:dyDescent="0.3">
      <c r="D649" s="1"/>
      <c r="E649" s="1"/>
    </row>
    <row r="650" spans="4:5" x14ac:dyDescent="0.3">
      <c r="D650" s="1"/>
      <c r="E650" s="1"/>
    </row>
    <row r="651" spans="4:5" x14ac:dyDescent="0.3">
      <c r="D651" s="1"/>
      <c r="E651" s="1"/>
    </row>
    <row r="652" spans="4:5" x14ac:dyDescent="0.3">
      <c r="D652" s="1"/>
      <c r="E652" s="1"/>
    </row>
    <row r="653" spans="4:5" x14ac:dyDescent="0.3">
      <c r="D653" s="1"/>
      <c r="E653" s="1"/>
    </row>
    <row r="654" spans="4:5" x14ac:dyDescent="0.3">
      <c r="D654" s="1"/>
      <c r="E654" s="1"/>
    </row>
    <row r="655" spans="4:5" x14ac:dyDescent="0.3">
      <c r="D655" s="1"/>
      <c r="E655" s="1"/>
    </row>
    <row r="656" spans="4:5" x14ac:dyDescent="0.3">
      <c r="D656" s="1"/>
      <c r="E656" s="1"/>
    </row>
    <row r="657" spans="4:5" x14ac:dyDescent="0.3">
      <c r="D657" s="1"/>
      <c r="E657" s="1"/>
    </row>
    <row r="658" spans="4:5" x14ac:dyDescent="0.3">
      <c r="D658" s="1"/>
      <c r="E658" s="1"/>
    </row>
    <row r="659" spans="4:5" x14ac:dyDescent="0.3">
      <c r="D659" s="1"/>
      <c r="E659" s="1"/>
    </row>
    <row r="660" spans="4:5" x14ac:dyDescent="0.3">
      <c r="D660" s="1"/>
      <c r="E660" s="1"/>
    </row>
    <row r="661" spans="4:5" x14ac:dyDescent="0.3">
      <c r="D661" s="1"/>
      <c r="E661" s="1"/>
    </row>
    <row r="662" spans="4:5" x14ac:dyDescent="0.3">
      <c r="D662" s="1"/>
      <c r="E662" s="1"/>
    </row>
    <row r="663" spans="4:5" x14ac:dyDescent="0.3">
      <c r="D663" s="1"/>
      <c r="E663" s="1"/>
    </row>
    <row r="664" spans="4:5" x14ac:dyDescent="0.3">
      <c r="D664" s="1"/>
      <c r="E664" s="1"/>
    </row>
    <row r="665" spans="4:5" x14ac:dyDescent="0.3">
      <c r="D665" s="1"/>
      <c r="E665" s="1"/>
    </row>
    <row r="666" spans="4:5" x14ac:dyDescent="0.3">
      <c r="D666" s="1"/>
      <c r="E666" s="1"/>
    </row>
    <row r="667" spans="4:5" x14ac:dyDescent="0.3">
      <c r="D667" s="1"/>
      <c r="E667" s="1"/>
    </row>
    <row r="668" spans="4:5" x14ac:dyDescent="0.3">
      <c r="D668" s="1"/>
      <c r="E668" s="1"/>
    </row>
    <row r="669" spans="4:5" x14ac:dyDescent="0.3">
      <c r="D669" s="1"/>
      <c r="E669" s="1"/>
    </row>
    <row r="670" spans="4:5" x14ac:dyDescent="0.3">
      <c r="D670" s="1"/>
      <c r="E670" s="1"/>
    </row>
    <row r="671" spans="4:5" x14ac:dyDescent="0.3">
      <c r="D671" s="1"/>
      <c r="E671" s="1"/>
    </row>
    <row r="672" spans="4:5" x14ac:dyDescent="0.3">
      <c r="D672" s="1"/>
      <c r="E672" s="1"/>
    </row>
    <row r="673" spans="4:5" x14ac:dyDescent="0.3">
      <c r="D673" s="1"/>
      <c r="E673" s="1"/>
    </row>
    <row r="674" spans="4:5" x14ac:dyDescent="0.3">
      <c r="D674" s="1"/>
      <c r="E674" s="1"/>
    </row>
    <row r="675" spans="4:5" x14ac:dyDescent="0.3">
      <c r="D675" s="1"/>
      <c r="E675" s="1"/>
    </row>
    <row r="676" spans="4:5" x14ac:dyDescent="0.3">
      <c r="D676" s="1"/>
      <c r="E676" s="1"/>
    </row>
    <row r="677" spans="4:5" x14ac:dyDescent="0.3">
      <c r="D677" s="1"/>
      <c r="E677" s="1"/>
    </row>
    <row r="678" spans="4:5" x14ac:dyDescent="0.3">
      <c r="D678" s="1"/>
      <c r="E678" s="1"/>
    </row>
    <row r="679" spans="4:5" x14ac:dyDescent="0.3">
      <c r="D679" s="1"/>
      <c r="E679" s="1"/>
    </row>
    <row r="680" spans="4:5" x14ac:dyDescent="0.3">
      <c r="D680" s="1"/>
      <c r="E680" s="1"/>
    </row>
    <row r="681" spans="4:5" x14ac:dyDescent="0.3">
      <c r="D681" s="1"/>
      <c r="E681" s="1"/>
    </row>
    <row r="682" spans="4:5" x14ac:dyDescent="0.3">
      <c r="D682" s="1"/>
      <c r="E682" s="1"/>
    </row>
    <row r="683" spans="4:5" x14ac:dyDescent="0.3">
      <c r="D683" s="1"/>
      <c r="E683" s="1"/>
    </row>
    <row r="684" spans="4:5" x14ac:dyDescent="0.3">
      <c r="D684" s="1"/>
      <c r="E684" s="1"/>
    </row>
    <row r="685" spans="4:5" x14ac:dyDescent="0.3">
      <c r="D685" s="1"/>
      <c r="E685" s="1"/>
    </row>
    <row r="686" spans="4:5" x14ac:dyDescent="0.3">
      <c r="D686" s="1"/>
      <c r="E686" s="1"/>
    </row>
    <row r="687" spans="4:5" x14ac:dyDescent="0.3">
      <c r="D687" s="1"/>
      <c r="E687" s="1"/>
    </row>
    <row r="688" spans="4:5" x14ac:dyDescent="0.3">
      <c r="D688" s="1"/>
      <c r="E688" s="1"/>
    </row>
    <row r="689" spans="4:5" x14ac:dyDescent="0.3">
      <c r="D689" s="1"/>
      <c r="E689" s="1"/>
    </row>
    <row r="690" spans="4:5" x14ac:dyDescent="0.3">
      <c r="D690" s="1"/>
      <c r="E690" s="1"/>
    </row>
    <row r="691" spans="4:5" x14ac:dyDescent="0.3">
      <c r="D691" s="1"/>
      <c r="E691" s="1"/>
    </row>
    <row r="692" spans="4:5" x14ac:dyDescent="0.3">
      <c r="D692" s="1"/>
      <c r="E692" s="1"/>
    </row>
    <row r="693" spans="4:5" x14ac:dyDescent="0.3">
      <c r="D693" s="1"/>
      <c r="E693" s="1"/>
    </row>
    <row r="694" spans="4:5" x14ac:dyDescent="0.3">
      <c r="D694" s="1"/>
      <c r="E694" s="1"/>
    </row>
    <row r="695" spans="4:5" x14ac:dyDescent="0.3">
      <c r="D695" s="1"/>
      <c r="E695" s="1"/>
    </row>
    <row r="696" spans="4:5" x14ac:dyDescent="0.3">
      <c r="D696" s="1"/>
      <c r="E696" s="1"/>
    </row>
    <row r="697" spans="4:5" x14ac:dyDescent="0.3">
      <c r="D697" s="1"/>
      <c r="E697" s="1"/>
    </row>
    <row r="698" spans="4:5" x14ac:dyDescent="0.3">
      <c r="D698" s="1"/>
      <c r="E698" s="1"/>
    </row>
    <row r="699" spans="4:5" x14ac:dyDescent="0.3">
      <c r="D699" s="1"/>
      <c r="E699" s="1"/>
    </row>
    <row r="700" spans="4:5" x14ac:dyDescent="0.3">
      <c r="D700" s="1"/>
      <c r="E700" s="1"/>
    </row>
    <row r="701" spans="4:5" x14ac:dyDescent="0.3">
      <c r="D701" s="1"/>
      <c r="E701" s="1"/>
    </row>
    <row r="702" spans="4:5" x14ac:dyDescent="0.3">
      <c r="D702" s="1"/>
      <c r="E702" s="1"/>
    </row>
    <row r="703" spans="4:5" x14ac:dyDescent="0.3">
      <c r="D703" s="1"/>
      <c r="E703" s="1"/>
    </row>
    <row r="704" spans="4:5" x14ac:dyDescent="0.3">
      <c r="D704" s="1"/>
      <c r="E704" s="1"/>
    </row>
    <row r="705" spans="4:5" x14ac:dyDescent="0.3">
      <c r="D705" s="1"/>
      <c r="E705" s="1"/>
    </row>
    <row r="706" spans="4:5" x14ac:dyDescent="0.3">
      <c r="D706" s="1"/>
      <c r="E706" s="1"/>
    </row>
    <row r="707" spans="4:5" x14ac:dyDescent="0.3">
      <c r="D707" s="1"/>
      <c r="E707" s="1"/>
    </row>
    <row r="708" spans="4:5" x14ac:dyDescent="0.3">
      <c r="D708" s="1"/>
      <c r="E708" s="1"/>
    </row>
    <row r="709" spans="4:5" x14ac:dyDescent="0.3">
      <c r="D709" s="1"/>
      <c r="E709" s="1"/>
    </row>
    <row r="710" spans="4:5" x14ac:dyDescent="0.3">
      <c r="D710" s="1"/>
      <c r="E710" s="1"/>
    </row>
    <row r="711" spans="4:5" x14ac:dyDescent="0.3">
      <c r="D711" s="1"/>
      <c r="E711" s="1"/>
    </row>
    <row r="712" spans="4:5" x14ac:dyDescent="0.3">
      <c r="D712" s="1"/>
      <c r="E712" s="1"/>
    </row>
    <row r="713" spans="4:5" x14ac:dyDescent="0.3">
      <c r="D713" s="1"/>
      <c r="E713" s="1"/>
    </row>
    <row r="714" spans="4:5" x14ac:dyDescent="0.3">
      <c r="D714" s="1"/>
      <c r="E714" s="1"/>
    </row>
    <row r="715" spans="4:5" x14ac:dyDescent="0.3">
      <c r="D715" s="1"/>
      <c r="E715" s="1"/>
    </row>
    <row r="716" spans="4:5" x14ac:dyDescent="0.3">
      <c r="D716" s="1"/>
      <c r="E716" s="1"/>
    </row>
    <row r="717" spans="4:5" x14ac:dyDescent="0.3">
      <c r="D717" s="1"/>
      <c r="E717" s="1"/>
    </row>
    <row r="718" spans="4:5" x14ac:dyDescent="0.3">
      <c r="D718" s="1"/>
      <c r="E718" s="1"/>
    </row>
    <row r="719" spans="4:5" x14ac:dyDescent="0.3">
      <c r="D719" s="1"/>
      <c r="E719" s="1"/>
    </row>
    <row r="720" spans="4:5" x14ac:dyDescent="0.3">
      <c r="D720" s="1"/>
      <c r="E720" s="1"/>
    </row>
    <row r="721" spans="4:5" x14ac:dyDescent="0.3">
      <c r="D721" s="1"/>
      <c r="E721" s="1"/>
    </row>
    <row r="722" spans="4:5" x14ac:dyDescent="0.3">
      <c r="D722" s="1"/>
      <c r="E722" s="1"/>
    </row>
    <row r="723" spans="4:5" x14ac:dyDescent="0.3">
      <c r="D723" s="1"/>
      <c r="E723" s="1"/>
    </row>
    <row r="724" spans="4:5" x14ac:dyDescent="0.3">
      <c r="D724" s="1"/>
      <c r="E724" s="1"/>
    </row>
    <row r="725" spans="4:5" x14ac:dyDescent="0.3">
      <c r="D725" s="1"/>
      <c r="E725" s="1"/>
    </row>
    <row r="726" spans="4:5" x14ac:dyDescent="0.3">
      <c r="D726" s="1"/>
      <c r="E726" s="1"/>
    </row>
    <row r="727" spans="4:5" x14ac:dyDescent="0.3">
      <c r="D727" s="1"/>
      <c r="E727" s="1"/>
    </row>
    <row r="728" spans="4:5" x14ac:dyDescent="0.3">
      <c r="D728" s="1"/>
      <c r="E728" s="1"/>
    </row>
    <row r="729" spans="4:5" x14ac:dyDescent="0.3">
      <c r="D729" s="1"/>
      <c r="E729" s="1"/>
    </row>
    <row r="730" spans="4:5" x14ac:dyDescent="0.3">
      <c r="D730" s="1"/>
      <c r="E730" s="1"/>
    </row>
    <row r="731" spans="4:5" x14ac:dyDescent="0.3">
      <c r="D731" s="1"/>
      <c r="E731" s="1"/>
    </row>
    <row r="732" spans="4:5" x14ac:dyDescent="0.3">
      <c r="D732" s="1"/>
      <c r="E732" s="1"/>
    </row>
    <row r="733" spans="4:5" x14ac:dyDescent="0.3">
      <c r="D733" s="1"/>
      <c r="E733" s="1"/>
    </row>
    <row r="734" spans="4:5" x14ac:dyDescent="0.3">
      <c r="D734" s="1"/>
      <c r="E734" s="1"/>
    </row>
    <row r="735" spans="4:5" x14ac:dyDescent="0.3">
      <c r="D735" s="1"/>
      <c r="E735" s="1"/>
    </row>
    <row r="736" spans="4:5" x14ac:dyDescent="0.3">
      <c r="D736" s="1"/>
      <c r="E736" s="1"/>
    </row>
    <row r="737" spans="4:5" x14ac:dyDescent="0.3">
      <c r="D737" s="1"/>
      <c r="E737" s="1"/>
    </row>
    <row r="738" spans="4:5" x14ac:dyDescent="0.3">
      <c r="D738" s="1"/>
      <c r="E738" s="1"/>
    </row>
    <row r="739" spans="4:5" x14ac:dyDescent="0.3">
      <c r="D739" s="1"/>
      <c r="E739" s="1"/>
    </row>
    <row r="740" spans="4:5" x14ac:dyDescent="0.3">
      <c r="D740" s="1"/>
      <c r="E740" s="1"/>
    </row>
    <row r="741" spans="4:5" x14ac:dyDescent="0.3">
      <c r="D741" s="1"/>
      <c r="E741" s="1"/>
    </row>
    <row r="742" spans="4:5" x14ac:dyDescent="0.3">
      <c r="D742" s="1"/>
      <c r="E742" s="1"/>
    </row>
    <row r="743" spans="4:5" x14ac:dyDescent="0.3">
      <c r="D743" s="1"/>
      <c r="E743" s="1"/>
    </row>
    <row r="744" spans="4:5" x14ac:dyDescent="0.3">
      <c r="D744" s="1"/>
      <c r="E744" s="1"/>
    </row>
    <row r="745" spans="4:5" x14ac:dyDescent="0.3">
      <c r="D745" s="1"/>
      <c r="E745" s="1"/>
    </row>
    <row r="746" spans="4:5" x14ac:dyDescent="0.3">
      <c r="D746" s="1"/>
      <c r="E746" s="1"/>
    </row>
    <row r="747" spans="4:5" x14ac:dyDescent="0.3">
      <c r="D747" s="1"/>
      <c r="E747" s="1"/>
    </row>
    <row r="748" spans="4:5" x14ac:dyDescent="0.3">
      <c r="D748" s="1"/>
      <c r="E748" s="1"/>
    </row>
    <row r="749" spans="4:5" x14ac:dyDescent="0.3">
      <c r="D749" s="1"/>
      <c r="E749" s="1"/>
    </row>
    <row r="750" spans="4:5" x14ac:dyDescent="0.3">
      <c r="D750" s="1"/>
      <c r="E750" s="1"/>
    </row>
    <row r="751" spans="4:5" x14ac:dyDescent="0.3">
      <c r="D751" s="1"/>
      <c r="E751" s="1"/>
    </row>
    <row r="752" spans="4:5" x14ac:dyDescent="0.3">
      <c r="D752" s="1"/>
      <c r="E752" s="1"/>
    </row>
    <row r="753" spans="4:5" x14ac:dyDescent="0.3">
      <c r="D753" s="1"/>
      <c r="E753" s="1"/>
    </row>
    <row r="754" spans="4:5" x14ac:dyDescent="0.3">
      <c r="D754" s="1"/>
      <c r="E754" s="1"/>
    </row>
    <row r="755" spans="4:5" x14ac:dyDescent="0.3">
      <c r="D755" s="1"/>
      <c r="E755" s="1"/>
    </row>
    <row r="756" spans="4:5" x14ac:dyDescent="0.3">
      <c r="D756" s="1"/>
      <c r="E756" s="1"/>
    </row>
    <row r="757" spans="4:5" x14ac:dyDescent="0.3">
      <c r="D757" s="1"/>
      <c r="E757" s="1"/>
    </row>
    <row r="758" spans="4:5" x14ac:dyDescent="0.3">
      <c r="D758" s="1"/>
      <c r="E758" s="1"/>
    </row>
    <row r="759" spans="4:5" x14ac:dyDescent="0.3">
      <c r="D759" s="1"/>
      <c r="E759" s="1"/>
    </row>
    <row r="760" spans="4:5" x14ac:dyDescent="0.3">
      <c r="D760" s="1"/>
      <c r="E760" s="1"/>
    </row>
    <row r="761" spans="4:5" x14ac:dyDescent="0.3">
      <c r="D761" s="1"/>
      <c r="E761" s="1"/>
    </row>
    <row r="762" spans="4:5" x14ac:dyDescent="0.3">
      <c r="D762" s="1"/>
      <c r="E762" s="1"/>
    </row>
    <row r="763" spans="4:5" x14ac:dyDescent="0.3">
      <c r="D763" s="1"/>
      <c r="E763" s="1"/>
    </row>
    <row r="764" spans="4:5" x14ac:dyDescent="0.3">
      <c r="D764" s="1"/>
      <c r="E764" s="1"/>
    </row>
    <row r="765" spans="4:5" x14ac:dyDescent="0.3">
      <c r="D765" s="1"/>
      <c r="E765" s="1"/>
    </row>
    <row r="766" spans="4:5" x14ac:dyDescent="0.3">
      <c r="D766" s="1"/>
      <c r="E766" s="1"/>
    </row>
    <row r="767" spans="4:5" x14ac:dyDescent="0.3">
      <c r="D767" s="1"/>
      <c r="E767" s="1"/>
    </row>
    <row r="768" spans="4:5" x14ac:dyDescent="0.3">
      <c r="D768" s="1"/>
      <c r="E768" s="1"/>
    </row>
    <row r="769" spans="4:5" x14ac:dyDescent="0.3">
      <c r="D769" s="1"/>
      <c r="E769" s="1"/>
    </row>
    <row r="770" spans="4:5" x14ac:dyDescent="0.3">
      <c r="D770" s="1"/>
      <c r="E770" s="1"/>
    </row>
    <row r="771" spans="4:5" x14ac:dyDescent="0.3">
      <c r="D771" s="1"/>
      <c r="E771" s="1"/>
    </row>
    <row r="772" spans="4:5" x14ac:dyDescent="0.3">
      <c r="D772" s="1"/>
      <c r="E772" s="1"/>
    </row>
    <row r="773" spans="4:5" x14ac:dyDescent="0.3">
      <c r="D773" s="1"/>
      <c r="E773" s="1"/>
    </row>
    <row r="774" spans="4:5" x14ac:dyDescent="0.3">
      <c r="D774" s="1"/>
      <c r="E774" s="1"/>
    </row>
    <row r="775" spans="4:5" x14ac:dyDescent="0.3">
      <c r="D775" s="1"/>
      <c r="E775" s="1"/>
    </row>
    <row r="776" spans="4:5" x14ac:dyDescent="0.3">
      <c r="D776" s="1"/>
      <c r="E776" s="1"/>
    </row>
    <row r="777" spans="4:5" x14ac:dyDescent="0.3">
      <c r="D777" s="1"/>
      <c r="E777" s="1"/>
    </row>
    <row r="778" spans="4:5" x14ac:dyDescent="0.3">
      <c r="D778" s="1"/>
      <c r="E778" s="1"/>
    </row>
    <row r="779" spans="4:5" x14ac:dyDescent="0.3">
      <c r="D779" s="1"/>
      <c r="E779" s="1"/>
    </row>
    <row r="780" spans="4:5" x14ac:dyDescent="0.3">
      <c r="D780" s="1"/>
      <c r="E780" s="1"/>
    </row>
    <row r="781" spans="4:5" x14ac:dyDescent="0.3">
      <c r="D781" s="1"/>
      <c r="E781" s="1"/>
    </row>
    <row r="782" spans="4:5" x14ac:dyDescent="0.3">
      <c r="D782" s="1"/>
      <c r="E782" s="1"/>
    </row>
    <row r="783" spans="4:5" x14ac:dyDescent="0.3">
      <c r="D783" s="1"/>
      <c r="E783" s="1"/>
    </row>
    <row r="784" spans="4:5" x14ac:dyDescent="0.3">
      <c r="D784" s="1"/>
      <c r="E784" s="1"/>
    </row>
    <row r="785" spans="4:5" x14ac:dyDescent="0.3">
      <c r="D785" s="1"/>
      <c r="E785" s="1"/>
    </row>
    <row r="786" spans="4:5" x14ac:dyDescent="0.3">
      <c r="D786" s="1"/>
      <c r="E786" s="1"/>
    </row>
    <row r="787" spans="4:5" x14ac:dyDescent="0.3">
      <c r="D787" s="1"/>
      <c r="E787" s="1"/>
    </row>
    <row r="788" spans="4:5" x14ac:dyDescent="0.3">
      <c r="D788" s="1"/>
      <c r="E788" s="1"/>
    </row>
    <row r="789" spans="4:5" x14ac:dyDescent="0.3">
      <c r="D789" s="1"/>
      <c r="E789" s="1"/>
    </row>
    <row r="790" spans="4:5" x14ac:dyDescent="0.3">
      <c r="D790" s="1"/>
      <c r="E790" s="1"/>
    </row>
    <row r="791" spans="4:5" x14ac:dyDescent="0.3">
      <c r="D791" s="1"/>
      <c r="E791" s="1"/>
    </row>
    <row r="792" spans="4:5" x14ac:dyDescent="0.3">
      <c r="D792" s="1"/>
      <c r="E792" s="1"/>
    </row>
    <row r="793" spans="4:5" x14ac:dyDescent="0.3">
      <c r="D793" s="1"/>
      <c r="E793" s="1"/>
    </row>
    <row r="794" spans="4:5" x14ac:dyDescent="0.3">
      <c r="D794" s="1"/>
      <c r="E794" s="1"/>
    </row>
    <row r="795" spans="4:5" x14ac:dyDescent="0.3">
      <c r="D795" s="1"/>
      <c r="E795" s="1"/>
    </row>
    <row r="796" spans="4:5" x14ac:dyDescent="0.3">
      <c r="D796" s="1"/>
      <c r="E796" s="1"/>
    </row>
    <row r="797" spans="4:5" x14ac:dyDescent="0.3">
      <c r="D797" s="1"/>
      <c r="E797" s="1"/>
    </row>
    <row r="798" spans="4:5" x14ac:dyDescent="0.3">
      <c r="D798" s="1"/>
      <c r="E798" s="1"/>
    </row>
    <row r="799" spans="4:5" x14ac:dyDescent="0.3">
      <c r="D799" s="1"/>
      <c r="E799" s="1"/>
    </row>
    <row r="800" spans="4:5" x14ac:dyDescent="0.3">
      <c r="D800" s="1"/>
      <c r="E800" s="1"/>
    </row>
    <row r="801" spans="4:5" x14ac:dyDescent="0.3">
      <c r="D801" s="1"/>
      <c r="E801" s="1"/>
    </row>
    <row r="802" spans="4:5" x14ac:dyDescent="0.3">
      <c r="D802" s="1"/>
      <c r="E802" s="1"/>
    </row>
    <row r="803" spans="4:5" x14ac:dyDescent="0.3">
      <c r="D803" s="1"/>
      <c r="E803" s="1"/>
    </row>
    <row r="804" spans="4:5" x14ac:dyDescent="0.3">
      <c r="D804" s="1"/>
      <c r="E804" s="1"/>
    </row>
    <row r="805" spans="4:5" x14ac:dyDescent="0.3">
      <c r="D805" s="1"/>
      <c r="E805" s="1"/>
    </row>
    <row r="806" spans="4:5" x14ac:dyDescent="0.3">
      <c r="D806" s="1"/>
      <c r="E806" s="1"/>
    </row>
    <row r="807" spans="4:5" x14ac:dyDescent="0.3">
      <c r="D807" s="1"/>
      <c r="E807" s="1"/>
    </row>
    <row r="808" spans="4:5" x14ac:dyDescent="0.3">
      <c r="D808" s="1"/>
      <c r="E808" s="1"/>
    </row>
    <row r="809" spans="4:5" x14ac:dyDescent="0.3">
      <c r="D809" s="1"/>
      <c r="E809" s="1"/>
    </row>
    <row r="810" spans="4:5" x14ac:dyDescent="0.3">
      <c r="D810" s="1"/>
      <c r="E810" s="1"/>
    </row>
    <row r="811" spans="4:5" x14ac:dyDescent="0.3">
      <c r="D811" s="1"/>
      <c r="E811" s="1"/>
    </row>
    <row r="812" spans="4:5" x14ac:dyDescent="0.3">
      <c r="D812" s="1"/>
      <c r="E812" s="1"/>
    </row>
    <row r="813" spans="4:5" x14ac:dyDescent="0.3">
      <c r="D813" s="1"/>
      <c r="E813" s="1"/>
    </row>
    <row r="814" spans="4:5" x14ac:dyDescent="0.3">
      <c r="D814" s="1"/>
      <c r="E814" s="1"/>
    </row>
    <row r="815" spans="4:5" x14ac:dyDescent="0.3">
      <c r="D815" s="1"/>
      <c r="E815" s="1"/>
    </row>
    <row r="816" spans="4:5" x14ac:dyDescent="0.3">
      <c r="D816" s="1"/>
      <c r="E816" s="1"/>
    </row>
    <row r="817" spans="4:5" x14ac:dyDescent="0.3">
      <c r="D817" s="1"/>
      <c r="E817" s="1"/>
    </row>
    <row r="818" spans="4:5" x14ac:dyDescent="0.3">
      <c r="D818" s="1"/>
      <c r="E818" s="1"/>
    </row>
    <row r="819" spans="4:5" x14ac:dyDescent="0.3">
      <c r="D819" s="1"/>
      <c r="E819" s="1"/>
    </row>
    <row r="820" spans="4:5" x14ac:dyDescent="0.3">
      <c r="D820" s="1"/>
      <c r="E820" s="1"/>
    </row>
    <row r="821" spans="4:5" x14ac:dyDescent="0.3">
      <c r="D821" s="1"/>
      <c r="E821" s="1"/>
    </row>
    <row r="822" spans="4:5" x14ac:dyDescent="0.3">
      <c r="D822" s="1"/>
      <c r="E822" s="1"/>
    </row>
    <row r="823" spans="4:5" x14ac:dyDescent="0.3">
      <c r="D823" s="1"/>
      <c r="E823" s="1"/>
    </row>
    <row r="824" spans="4:5" x14ac:dyDescent="0.3">
      <c r="D824" s="1"/>
      <c r="E824" s="1"/>
    </row>
    <row r="825" spans="4:5" x14ac:dyDescent="0.3">
      <c r="D825" s="1"/>
      <c r="E825" s="1"/>
    </row>
    <row r="826" spans="4:5" x14ac:dyDescent="0.3">
      <c r="D826" s="1"/>
      <c r="E826" s="1"/>
    </row>
    <row r="827" spans="4:5" x14ac:dyDescent="0.3">
      <c r="D827" s="1"/>
      <c r="E827" s="1"/>
    </row>
    <row r="828" spans="4:5" x14ac:dyDescent="0.3">
      <c r="D828" s="1"/>
      <c r="E828" s="1"/>
    </row>
    <row r="829" spans="4:5" x14ac:dyDescent="0.3">
      <c r="D829" s="1"/>
      <c r="E829" s="1"/>
    </row>
    <row r="830" spans="4:5" x14ac:dyDescent="0.3">
      <c r="D830" s="1"/>
      <c r="E830" s="1"/>
    </row>
    <row r="831" spans="4:5" x14ac:dyDescent="0.3">
      <c r="D831" s="1"/>
      <c r="E831" s="1"/>
    </row>
    <row r="832" spans="4:5" x14ac:dyDescent="0.3">
      <c r="D832" s="1"/>
      <c r="E832" s="1"/>
    </row>
    <row r="833" spans="4:5" x14ac:dyDescent="0.3">
      <c r="D833" s="1"/>
      <c r="E833" s="1"/>
    </row>
    <row r="834" spans="4:5" x14ac:dyDescent="0.3">
      <c r="D834" s="1"/>
      <c r="E834" s="1"/>
    </row>
    <row r="835" spans="4:5" x14ac:dyDescent="0.3">
      <c r="D835" s="1"/>
      <c r="E835" s="1"/>
    </row>
    <row r="836" spans="4:5" x14ac:dyDescent="0.3">
      <c r="D836" s="1"/>
      <c r="E836" s="1"/>
    </row>
    <row r="837" spans="4:5" x14ac:dyDescent="0.3">
      <c r="D837" s="1"/>
      <c r="E837" s="1"/>
    </row>
    <row r="838" spans="4:5" x14ac:dyDescent="0.3">
      <c r="D838" s="1"/>
      <c r="E838" s="1"/>
    </row>
    <row r="839" spans="4:5" x14ac:dyDescent="0.3">
      <c r="D839" s="1"/>
      <c r="E839" s="1"/>
    </row>
    <row r="840" spans="4:5" x14ac:dyDescent="0.3">
      <c r="D840" s="1"/>
      <c r="E840" s="1"/>
    </row>
    <row r="841" spans="4:5" x14ac:dyDescent="0.3">
      <c r="D841" s="1"/>
      <c r="E841" s="1"/>
    </row>
    <row r="842" spans="4:5" x14ac:dyDescent="0.3">
      <c r="D842" s="1"/>
      <c r="E842" s="1"/>
    </row>
    <row r="843" spans="4:5" x14ac:dyDescent="0.3">
      <c r="D843" s="1"/>
      <c r="E843" s="1"/>
    </row>
    <row r="844" spans="4:5" x14ac:dyDescent="0.3">
      <c r="D844" s="1"/>
      <c r="E844" s="1"/>
    </row>
    <row r="845" spans="4:5" x14ac:dyDescent="0.3">
      <c r="D845" s="1"/>
      <c r="E845" s="1"/>
    </row>
    <row r="846" spans="4:5" x14ac:dyDescent="0.3">
      <c r="D846" s="1"/>
      <c r="E846" s="1"/>
    </row>
    <row r="847" spans="4:5" x14ac:dyDescent="0.3">
      <c r="D847" s="1"/>
      <c r="E847" s="1"/>
    </row>
    <row r="848" spans="4:5" x14ac:dyDescent="0.3">
      <c r="D848" s="1"/>
      <c r="E848" s="1"/>
    </row>
    <row r="849" spans="4:5" x14ac:dyDescent="0.3">
      <c r="D849" s="1"/>
      <c r="E849" s="1"/>
    </row>
    <row r="850" spans="4:5" x14ac:dyDescent="0.3">
      <c r="D850" s="1"/>
      <c r="E850" s="1"/>
    </row>
    <row r="851" spans="4:5" x14ac:dyDescent="0.3">
      <c r="D851" s="1"/>
      <c r="E851" s="1"/>
    </row>
    <row r="852" spans="4:5" x14ac:dyDescent="0.3">
      <c r="D852" s="1"/>
      <c r="E852" s="1"/>
    </row>
    <row r="853" spans="4:5" x14ac:dyDescent="0.3">
      <c r="D853" s="1"/>
      <c r="E853" s="1"/>
    </row>
    <row r="854" spans="4:5" x14ac:dyDescent="0.3">
      <c r="D854" s="1"/>
      <c r="E854" s="1"/>
    </row>
    <row r="855" spans="4:5" x14ac:dyDescent="0.3">
      <c r="D855" s="1"/>
      <c r="E855" s="1"/>
    </row>
    <row r="856" spans="4:5" x14ac:dyDescent="0.3">
      <c r="D856" s="1"/>
      <c r="E856" s="1"/>
    </row>
    <row r="857" spans="4:5" x14ac:dyDescent="0.3">
      <c r="D857" s="1"/>
      <c r="E857" s="1"/>
    </row>
    <row r="858" spans="4:5" x14ac:dyDescent="0.3">
      <c r="D858" s="1"/>
      <c r="E858" s="1"/>
    </row>
    <row r="859" spans="4:5" x14ac:dyDescent="0.3">
      <c r="D859" s="1"/>
      <c r="E859" s="1"/>
    </row>
    <row r="860" spans="4:5" x14ac:dyDescent="0.3">
      <c r="D860" s="1"/>
      <c r="E860" s="1"/>
    </row>
    <row r="861" spans="4:5" x14ac:dyDescent="0.3">
      <c r="D861" s="1"/>
      <c r="E861" s="1"/>
    </row>
    <row r="862" spans="4:5" x14ac:dyDescent="0.3">
      <c r="D862" s="1"/>
      <c r="E862" s="1"/>
    </row>
    <row r="863" spans="4:5" x14ac:dyDescent="0.3">
      <c r="D863" s="1"/>
      <c r="E863" s="1"/>
    </row>
    <row r="864" spans="4:5" x14ac:dyDescent="0.3">
      <c r="D864" s="1"/>
      <c r="E864" s="1"/>
    </row>
    <row r="865" spans="4:5" x14ac:dyDescent="0.3">
      <c r="D865" s="1"/>
      <c r="E865" s="1"/>
    </row>
    <row r="866" spans="4:5" x14ac:dyDescent="0.3">
      <c r="D866" s="1"/>
      <c r="E866" s="1"/>
    </row>
    <row r="867" spans="4:5" x14ac:dyDescent="0.3">
      <c r="D867" s="1"/>
      <c r="E867" s="1"/>
    </row>
    <row r="868" spans="4:5" x14ac:dyDescent="0.3">
      <c r="D868" s="1"/>
      <c r="E868" s="1"/>
    </row>
    <row r="869" spans="4:5" x14ac:dyDescent="0.3">
      <c r="D869" s="1"/>
      <c r="E869" s="1"/>
    </row>
    <row r="870" spans="4:5" x14ac:dyDescent="0.3">
      <c r="D870" s="1"/>
      <c r="E870" s="1"/>
    </row>
    <row r="871" spans="4:5" x14ac:dyDescent="0.3">
      <c r="D871" s="1"/>
      <c r="E871" s="1"/>
    </row>
    <row r="872" spans="4:5" x14ac:dyDescent="0.3">
      <c r="D872" s="1"/>
      <c r="E872" s="1"/>
    </row>
    <row r="873" spans="4:5" x14ac:dyDescent="0.3">
      <c r="D873" s="1"/>
      <c r="E873" s="1"/>
    </row>
    <row r="874" spans="4:5" x14ac:dyDescent="0.3">
      <c r="D874" s="1"/>
      <c r="E874" s="1"/>
    </row>
    <row r="875" spans="4:5" x14ac:dyDescent="0.3">
      <c r="D875" s="1"/>
      <c r="E875" s="1"/>
    </row>
    <row r="876" spans="4:5" x14ac:dyDescent="0.3">
      <c r="D876" s="1"/>
      <c r="E876" s="1"/>
    </row>
    <row r="877" spans="4:5" x14ac:dyDescent="0.3">
      <c r="D877" s="1"/>
      <c r="E877" s="1"/>
    </row>
    <row r="878" spans="4:5" x14ac:dyDescent="0.3">
      <c r="D878" s="1"/>
      <c r="E878" s="1"/>
    </row>
    <row r="879" spans="4:5" x14ac:dyDescent="0.3">
      <c r="D879" s="1"/>
      <c r="E879" s="1"/>
    </row>
    <row r="880" spans="4:5" x14ac:dyDescent="0.3">
      <c r="D880" s="1"/>
      <c r="E880" s="1"/>
    </row>
    <row r="881" spans="4:5" x14ac:dyDescent="0.3">
      <c r="D881" s="1"/>
      <c r="E881" s="1"/>
    </row>
    <row r="882" spans="4:5" x14ac:dyDescent="0.3">
      <c r="D882" s="1"/>
      <c r="E882" s="1"/>
    </row>
    <row r="883" spans="4:5" x14ac:dyDescent="0.3">
      <c r="D883" s="1"/>
      <c r="E883" s="1"/>
    </row>
    <row r="884" spans="4:5" x14ac:dyDescent="0.3">
      <c r="D884" s="1"/>
      <c r="E884" s="1"/>
    </row>
    <row r="885" spans="4:5" x14ac:dyDescent="0.3">
      <c r="D885" s="1"/>
      <c r="E885" s="1"/>
    </row>
    <row r="886" spans="4:5" x14ac:dyDescent="0.3">
      <c r="D886" s="1"/>
      <c r="E886" s="1"/>
    </row>
    <row r="887" spans="4:5" x14ac:dyDescent="0.3">
      <c r="D887" s="1"/>
      <c r="E887" s="1"/>
    </row>
    <row r="888" spans="4:5" x14ac:dyDescent="0.3">
      <c r="D888" s="1"/>
      <c r="E888" s="1"/>
    </row>
    <row r="889" spans="4:5" x14ac:dyDescent="0.3">
      <c r="D889" s="1"/>
      <c r="E889" s="1"/>
    </row>
    <row r="890" spans="4:5" x14ac:dyDescent="0.3">
      <c r="D890" s="1"/>
      <c r="E890" s="1"/>
    </row>
    <row r="891" spans="4:5" x14ac:dyDescent="0.3">
      <c r="D891" s="1"/>
      <c r="E891" s="1"/>
    </row>
    <row r="892" spans="4:5" x14ac:dyDescent="0.3">
      <c r="D892" s="1"/>
      <c r="E892" s="1"/>
    </row>
    <row r="893" spans="4:5" x14ac:dyDescent="0.3">
      <c r="D893" s="1"/>
      <c r="E893" s="1"/>
    </row>
    <row r="894" spans="4:5" x14ac:dyDescent="0.3">
      <c r="D894" s="1"/>
      <c r="E894" s="1"/>
    </row>
    <row r="895" spans="4:5" x14ac:dyDescent="0.3">
      <c r="D895" s="1"/>
      <c r="E895" s="1"/>
    </row>
    <row r="896" spans="4:5" x14ac:dyDescent="0.3">
      <c r="D896" s="1"/>
      <c r="E896" s="1"/>
    </row>
    <row r="897" spans="4:5" x14ac:dyDescent="0.3">
      <c r="D897" s="1"/>
      <c r="E897" s="1"/>
    </row>
    <row r="898" spans="4:5" x14ac:dyDescent="0.3">
      <c r="D898" s="1"/>
      <c r="E898" s="1"/>
    </row>
    <row r="899" spans="4:5" x14ac:dyDescent="0.3">
      <c r="D899" s="1"/>
      <c r="E899" s="1"/>
    </row>
    <row r="900" spans="4:5" x14ac:dyDescent="0.3">
      <c r="D900" s="1"/>
      <c r="E900" s="1"/>
    </row>
    <row r="901" spans="4:5" x14ac:dyDescent="0.3">
      <c r="D901" s="1"/>
      <c r="E901" s="1"/>
    </row>
    <row r="902" spans="4:5" x14ac:dyDescent="0.3">
      <c r="D902" s="1"/>
      <c r="E902" s="1"/>
    </row>
    <row r="903" spans="4:5" x14ac:dyDescent="0.3">
      <c r="D903" s="1"/>
      <c r="E903" s="1"/>
    </row>
    <row r="904" spans="4:5" x14ac:dyDescent="0.3">
      <c r="D904" s="1"/>
      <c r="E904" s="1"/>
    </row>
    <row r="905" spans="4:5" x14ac:dyDescent="0.3">
      <c r="D905" s="1"/>
      <c r="E905" s="1"/>
    </row>
    <row r="906" spans="4:5" x14ac:dyDescent="0.3">
      <c r="D906" s="1"/>
      <c r="E906" s="1"/>
    </row>
    <row r="907" spans="4:5" x14ac:dyDescent="0.3">
      <c r="D907" s="1"/>
      <c r="E907" s="1"/>
    </row>
    <row r="908" spans="4:5" x14ac:dyDescent="0.3">
      <c r="D908" s="1"/>
      <c r="E908" s="1"/>
    </row>
    <row r="909" spans="4:5" x14ac:dyDescent="0.3">
      <c r="D909" s="1"/>
      <c r="E909" s="1"/>
    </row>
    <row r="910" spans="4:5" x14ac:dyDescent="0.3">
      <c r="D910" s="1"/>
      <c r="E910" s="1"/>
    </row>
    <row r="911" spans="4:5" x14ac:dyDescent="0.3">
      <c r="D911" s="1"/>
      <c r="E911" s="1"/>
    </row>
    <row r="912" spans="4:5" x14ac:dyDescent="0.3">
      <c r="D912" s="1"/>
      <c r="E912" s="1"/>
    </row>
    <row r="913" spans="4:5" x14ac:dyDescent="0.3">
      <c r="D913" s="1"/>
      <c r="E913" s="1"/>
    </row>
    <row r="914" spans="4:5" x14ac:dyDescent="0.3">
      <c r="D914" s="1"/>
      <c r="E914" s="1"/>
    </row>
    <row r="915" spans="4:5" x14ac:dyDescent="0.3">
      <c r="D915" s="1"/>
      <c r="E915" s="1"/>
    </row>
    <row r="916" spans="4:5" x14ac:dyDescent="0.3">
      <c r="D916" s="1"/>
      <c r="E916" s="1"/>
    </row>
    <row r="917" spans="4:5" x14ac:dyDescent="0.3">
      <c r="D917" s="1"/>
      <c r="E917" s="1"/>
    </row>
    <row r="918" spans="4:5" x14ac:dyDescent="0.3">
      <c r="D918" s="1"/>
      <c r="E918" s="1"/>
    </row>
    <row r="919" spans="4:5" x14ac:dyDescent="0.3">
      <c r="D919" s="1"/>
      <c r="E919" s="1"/>
    </row>
    <row r="920" spans="4:5" x14ac:dyDescent="0.3">
      <c r="D920" s="1"/>
      <c r="E920" s="1"/>
    </row>
    <row r="921" spans="4:5" x14ac:dyDescent="0.3">
      <c r="D921" s="1"/>
      <c r="E921" s="1"/>
    </row>
    <row r="922" spans="4:5" x14ac:dyDescent="0.3">
      <c r="D922" s="1"/>
      <c r="E922" s="1"/>
    </row>
    <row r="923" spans="4:5" x14ac:dyDescent="0.3">
      <c r="D923" s="1"/>
      <c r="E923" s="1"/>
    </row>
    <row r="924" spans="4:5" x14ac:dyDescent="0.3">
      <c r="D924" s="1"/>
      <c r="E924" s="1"/>
    </row>
    <row r="925" spans="4:5" x14ac:dyDescent="0.3">
      <c r="D925" s="1"/>
      <c r="E925" s="1"/>
    </row>
    <row r="926" spans="4:5" x14ac:dyDescent="0.3">
      <c r="D926" s="1"/>
      <c r="E926" s="1"/>
    </row>
    <row r="927" spans="4:5" x14ac:dyDescent="0.3">
      <c r="D927" s="1"/>
      <c r="E927" s="1"/>
    </row>
    <row r="928" spans="4:5" x14ac:dyDescent="0.3">
      <c r="D928" s="1"/>
      <c r="E928" s="1"/>
    </row>
    <row r="929" spans="4:5" x14ac:dyDescent="0.3">
      <c r="D929" s="1"/>
      <c r="E929" s="1"/>
    </row>
    <row r="930" spans="4:5" x14ac:dyDescent="0.3">
      <c r="D930" s="1"/>
      <c r="E930" s="1"/>
    </row>
    <row r="931" spans="4:5" x14ac:dyDescent="0.3">
      <c r="D931" s="1"/>
      <c r="E931" s="1"/>
    </row>
    <row r="932" spans="4:5" x14ac:dyDescent="0.3">
      <c r="D932" s="1"/>
      <c r="E932" s="1"/>
    </row>
    <row r="933" spans="4:5" x14ac:dyDescent="0.3">
      <c r="D933" s="1"/>
      <c r="E933" s="1"/>
    </row>
    <row r="934" spans="4:5" x14ac:dyDescent="0.3">
      <c r="D934" s="1"/>
      <c r="E934" s="1"/>
    </row>
    <row r="935" spans="4:5" x14ac:dyDescent="0.3">
      <c r="D935" s="1"/>
      <c r="E935" s="1"/>
    </row>
    <row r="936" spans="4:5" x14ac:dyDescent="0.3">
      <c r="D936" s="1"/>
      <c r="E936" s="1"/>
    </row>
    <row r="937" spans="4:5" x14ac:dyDescent="0.3">
      <c r="D937" s="1"/>
      <c r="E937" s="1"/>
    </row>
    <row r="938" spans="4:5" x14ac:dyDescent="0.3">
      <c r="D938" s="1"/>
      <c r="E938" s="1"/>
    </row>
    <row r="939" spans="4:5" x14ac:dyDescent="0.3">
      <c r="D939" s="1"/>
      <c r="E939" s="1"/>
    </row>
    <row r="940" spans="4:5" x14ac:dyDescent="0.3">
      <c r="D940" s="1"/>
      <c r="E940" s="1"/>
    </row>
    <row r="941" spans="4:5" x14ac:dyDescent="0.3">
      <c r="D941" s="1"/>
      <c r="E941" s="1"/>
    </row>
    <row r="942" spans="4:5" x14ac:dyDescent="0.3">
      <c r="D942" s="1"/>
      <c r="E942" s="1"/>
    </row>
    <row r="943" spans="4:5" x14ac:dyDescent="0.3">
      <c r="D943" s="1"/>
      <c r="E943" s="1"/>
    </row>
    <row r="944" spans="4:5" x14ac:dyDescent="0.3">
      <c r="D944" s="1"/>
      <c r="E944" s="1"/>
    </row>
    <row r="945" spans="4:5" x14ac:dyDescent="0.3">
      <c r="D945" s="1"/>
      <c r="E945" s="1"/>
    </row>
    <row r="946" spans="4:5" x14ac:dyDescent="0.3">
      <c r="D946" s="1"/>
      <c r="E946" s="1"/>
    </row>
    <row r="947" spans="4:5" x14ac:dyDescent="0.3">
      <c r="D947" s="1"/>
      <c r="E947" s="1"/>
    </row>
    <row r="948" spans="4:5" x14ac:dyDescent="0.3">
      <c r="D948" s="1"/>
      <c r="E948" s="1"/>
    </row>
    <row r="949" spans="4:5" x14ac:dyDescent="0.3">
      <c r="D949" s="1"/>
      <c r="E949" s="1"/>
    </row>
    <row r="950" spans="4:5" x14ac:dyDescent="0.3">
      <c r="D950" s="1"/>
      <c r="E950" s="1"/>
    </row>
    <row r="951" spans="4:5" x14ac:dyDescent="0.3">
      <c r="D951" s="1"/>
      <c r="E951" s="1"/>
    </row>
    <row r="952" spans="4:5" x14ac:dyDescent="0.3">
      <c r="D952" s="1"/>
      <c r="E952" s="1"/>
    </row>
    <row r="953" spans="4:5" x14ac:dyDescent="0.3">
      <c r="D953" s="1"/>
      <c r="E953" s="1"/>
    </row>
    <row r="954" spans="4:5" x14ac:dyDescent="0.3">
      <c r="D954" s="1"/>
      <c r="E954" s="1"/>
    </row>
    <row r="955" spans="4:5" x14ac:dyDescent="0.3">
      <c r="D955" s="1"/>
      <c r="E955" s="1"/>
    </row>
    <row r="956" spans="4:5" x14ac:dyDescent="0.3">
      <c r="D956" s="1"/>
      <c r="E956" s="1"/>
    </row>
    <row r="957" spans="4:5" x14ac:dyDescent="0.3">
      <c r="D957" s="1"/>
      <c r="E957" s="1"/>
    </row>
    <row r="958" spans="4:5" x14ac:dyDescent="0.3">
      <c r="D958" s="1"/>
      <c r="E958" s="1"/>
    </row>
    <row r="959" spans="4:5" x14ac:dyDescent="0.3">
      <c r="D959" s="1"/>
      <c r="E959" s="1"/>
    </row>
    <row r="960" spans="4:5" x14ac:dyDescent="0.3">
      <c r="D960" s="1"/>
      <c r="E960" s="1"/>
    </row>
    <row r="961" spans="4:5" x14ac:dyDescent="0.3">
      <c r="D961" s="1"/>
      <c r="E961" s="1"/>
    </row>
    <row r="962" spans="4:5" x14ac:dyDescent="0.3">
      <c r="D962" s="1"/>
      <c r="E962" s="1"/>
    </row>
    <row r="963" spans="4:5" x14ac:dyDescent="0.3">
      <c r="D963" s="1"/>
      <c r="E963" s="1"/>
    </row>
    <row r="964" spans="4:5" x14ac:dyDescent="0.3">
      <c r="D964" s="1"/>
      <c r="E964" s="1"/>
    </row>
    <row r="965" spans="4:5" x14ac:dyDescent="0.3">
      <c r="D965" s="1"/>
      <c r="E965" s="1"/>
    </row>
    <row r="966" spans="4:5" x14ac:dyDescent="0.3">
      <c r="D966" s="1"/>
      <c r="E966" s="1"/>
    </row>
    <row r="967" spans="4:5" x14ac:dyDescent="0.3">
      <c r="D967" s="1"/>
      <c r="E967" s="1"/>
    </row>
    <row r="968" spans="4:5" x14ac:dyDescent="0.3">
      <c r="D968" s="1"/>
      <c r="E968" s="1"/>
    </row>
    <row r="969" spans="4:5" x14ac:dyDescent="0.3">
      <c r="D969" s="1"/>
      <c r="E969" s="1"/>
    </row>
    <row r="970" spans="4:5" x14ac:dyDescent="0.3">
      <c r="D970" s="1"/>
      <c r="E970" s="1"/>
    </row>
    <row r="971" spans="4:5" x14ac:dyDescent="0.3">
      <c r="D971" s="1"/>
      <c r="E971" s="1"/>
    </row>
    <row r="972" spans="4:5" x14ac:dyDescent="0.3">
      <c r="D972" s="1"/>
      <c r="E972" s="1"/>
    </row>
    <row r="973" spans="4:5" x14ac:dyDescent="0.3">
      <c r="D973" s="1"/>
      <c r="E973" s="1"/>
    </row>
    <row r="974" spans="4:5" x14ac:dyDescent="0.3">
      <c r="D974" s="1"/>
      <c r="E974" s="1"/>
    </row>
    <row r="975" spans="4:5" x14ac:dyDescent="0.3">
      <c r="D975" s="1"/>
      <c r="E975" s="1"/>
    </row>
    <row r="976" spans="4:5" x14ac:dyDescent="0.3">
      <c r="D976" s="1"/>
      <c r="E976" s="1"/>
    </row>
    <row r="977" spans="4:5" x14ac:dyDescent="0.3">
      <c r="D977" s="1"/>
      <c r="E977" s="1"/>
    </row>
    <row r="978" spans="4:5" x14ac:dyDescent="0.3">
      <c r="D978" s="1"/>
      <c r="E978" s="1"/>
    </row>
    <row r="979" spans="4:5" x14ac:dyDescent="0.3">
      <c r="D979" s="1"/>
      <c r="E979" s="1"/>
    </row>
    <row r="980" spans="4:5" x14ac:dyDescent="0.3">
      <c r="D980" s="1"/>
      <c r="E980" s="1"/>
    </row>
    <row r="981" spans="4:5" x14ac:dyDescent="0.3">
      <c r="D981" s="1"/>
      <c r="E981" s="1"/>
    </row>
    <row r="982" spans="4:5" x14ac:dyDescent="0.3">
      <c r="D982" s="1"/>
      <c r="E982" s="1"/>
    </row>
    <row r="983" spans="4:5" x14ac:dyDescent="0.3">
      <c r="D983" s="1"/>
      <c r="E983" s="1"/>
    </row>
    <row r="984" spans="4:5" x14ac:dyDescent="0.3">
      <c r="D984" s="1"/>
      <c r="E984" s="1"/>
    </row>
    <row r="985" spans="4:5" x14ac:dyDescent="0.3">
      <c r="D985" s="1"/>
      <c r="E985" s="1"/>
    </row>
    <row r="986" spans="4:5" x14ac:dyDescent="0.3">
      <c r="D986" s="1"/>
      <c r="E986" s="1"/>
    </row>
    <row r="987" spans="4:5" x14ac:dyDescent="0.3">
      <c r="D987" s="1"/>
      <c r="E987" s="1"/>
    </row>
    <row r="988" spans="4:5" x14ac:dyDescent="0.3">
      <c r="D988" s="1"/>
      <c r="E988" s="1"/>
    </row>
    <row r="989" spans="4:5" x14ac:dyDescent="0.3">
      <c r="D989" s="1"/>
      <c r="E989" s="1"/>
    </row>
    <row r="990" spans="4:5" x14ac:dyDescent="0.3">
      <c r="D990" s="1"/>
      <c r="E990" s="1"/>
    </row>
    <row r="991" spans="4:5" x14ac:dyDescent="0.3">
      <c r="D991" s="1"/>
      <c r="E991" s="1"/>
    </row>
    <row r="992" spans="4:5" x14ac:dyDescent="0.3">
      <c r="D992" s="1"/>
      <c r="E992" s="1"/>
    </row>
    <row r="993" spans="4:5" x14ac:dyDescent="0.3">
      <c r="D993" s="1"/>
      <c r="E993" s="1"/>
    </row>
    <row r="994" spans="4:5" x14ac:dyDescent="0.3">
      <c r="D994" s="1"/>
      <c r="E994" s="1"/>
    </row>
    <row r="995" spans="4:5" x14ac:dyDescent="0.3">
      <c r="D995" s="1"/>
      <c r="E995" s="1"/>
    </row>
    <row r="996" spans="4:5" x14ac:dyDescent="0.3">
      <c r="D996" s="1"/>
      <c r="E996" s="1"/>
    </row>
    <row r="997" spans="4:5" x14ac:dyDescent="0.3">
      <c r="D997" s="1"/>
      <c r="E997" s="1"/>
    </row>
    <row r="998" spans="4:5" x14ac:dyDescent="0.3">
      <c r="D998" s="1"/>
      <c r="E998" s="1"/>
    </row>
    <row r="999" spans="4:5" x14ac:dyDescent="0.3">
      <c r="D999" s="1"/>
      <c r="E999" s="1"/>
    </row>
    <row r="1000" spans="4:5" x14ac:dyDescent="0.3">
      <c r="D1000" s="1"/>
      <c r="E1000" s="1"/>
    </row>
    <row r="1001" spans="4:5" x14ac:dyDescent="0.3">
      <c r="D1001" s="1"/>
      <c r="E1001" s="1"/>
    </row>
    <row r="1002" spans="4:5" x14ac:dyDescent="0.3">
      <c r="D1002" s="1"/>
      <c r="E1002" s="1"/>
    </row>
    <row r="1003" spans="4:5" x14ac:dyDescent="0.3">
      <c r="D1003" s="1"/>
      <c r="E1003" s="1"/>
    </row>
    <row r="1004" spans="4:5" x14ac:dyDescent="0.3">
      <c r="D1004" s="1"/>
      <c r="E1004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3" r:id="rId4" name="Button 7">
              <controlPr defaultSize="0" print="0" autoFill="0" autoPict="0" macro="[0]!Rates.rates">
                <anchor moveWithCells="1" sizeWithCells="1">
                  <from>
                    <xdr:col>7</xdr:col>
                    <xdr:colOff>350520</xdr:colOff>
                    <xdr:row>3</xdr:row>
                    <xdr:rowOff>76200</xdr:rowOff>
                  </from>
                  <to>
                    <xdr:col>9</xdr:col>
                    <xdr:colOff>487680</xdr:colOff>
                    <xdr:row>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5" name="Button 8">
              <controlPr defaultSize="0" print="0" autoFill="0" autoPict="0" macro="[0]!Delete.Delete">
                <anchor moveWithCells="1" sizeWithCells="1">
                  <from>
                    <xdr:col>7</xdr:col>
                    <xdr:colOff>342900</xdr:colOff>
                    <xdr:row>5</xdr:row>
                    <xdr:rowOff>0</xdr:rowOff>
                  </from>
                  <to>
                    <xdr:col>9</xdr:col>
                    <xdr:colOff>480060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L1007"/>
  <sheetViews>
    <sheetView topLeftCell="A7" zoomScale="95" zoomScaleNormal="95" workbookViewId="0">
      <selection activeCell="R3" sqref="R3"/>
    </sheetView>
  </sheetViews>
  <sheetFormatPr defaultRowHeight="14.4" x14ac:dyDescent="0.3"/>
  <sheetData>
    <row r="1" spans="1:12" x14ac:dyDescent="0.3">
      <c r="E1" s="28" t="s">
        <v>23</v>
      </c>
      <c r="F1" s="29"/>
      <c r="G1" s="29"/>
      <c r="H1" s="29"/>
      <c r="I1" s="29"/>
      <c r="J1" s="29"/>
      <c r="K1" s="29"/>
      <c r="L1" s="29"/>
    </row>
    <row r="2" spans="1:12" x14ac:dyDescent="0.3">
      <c r="E2" s="29"/>
      <c r="F2" s="29"/>
      <c r="G2" s="29"/>
      <c r="H2" s="29"/>
      <c r="I2" s="29"/>
      <c r="J2" s="29"/>
      <c r="K2" s="29"/>
      <c r="L2" s="29"/>
    </row>
    <row r="3" spans="1:12" ht="15" thickBot="1" x14ac:dyDescent="0.35">
      <c r="E3" s="29"/>
      <c r="F3" s="29"/>
      <c r="G3" s="29"/>
      <c r="H3" s="29"/>
      <c r="I3" s="29"/>
      <c r="J3" s="29"/>
      <c r="K3" s="29"/>
      <c r="L3" s="29"/>
    </row>
    <row r="4" spans="1:12" x14ac:dyDescent="0.3">
      <c r="B4" s="2" t="s">
        <v>0</v>
      </c>
      <c r="C4" s="3">
        <v>0.05</v>
      </c>
      <c r="D4" s="4"/>
    </row>
    <row r="5" spans="1:12" ht="15" thickBot="1" x14ac:dyDescent="0.35">
      <c r="B5" s="5" t="s">
        <v>1</v>
      </c>
      <c r="C5" s="6">
        <v>365</v>
      </c>
      <c r="D5" s="7"/>
    </row>
    <row r="6" spans="1:12" ht="15" customHeight="1" x14ac:dyDescent="0.3"/>
    <row r="7" spans="1:12" ht="19.8" x14ac:dyDescent="0.35">
      <c r="A7" s="9" t="s">
        <v>2</v>
      </c>
      <c r="B7" s="9" t="s">
        <v>3</v>
      </c>
      <c r="C7" s="9" t="s">
        <v>4</v>
      </c>
      <c r="D7" s="10" t="s">
        <v>5</v>
      </c>
      <c r="E7" s="10" t="s">
        <v>6</v>
      </c>
    </row>
    <row r="8" spans="1:12" ht="15" customHeight="1" x14ac:dyDescent="0.3">
      <c r="A8">
        <v>1</v>
      </c>
      <c r="B8">
        <v>1</v>
      </c>
      <c r="C8">
        <v>2.7397260273972603E-3</v>
      </c>
      <c r="D8" s="1">
        <v>1.0001369956844217</v>
      </c>
      <c r="E8" s="1">
        <v>0.99986302308082509</v>
      </c>
    </row>
    <row r="9" spans="1:12" x14ac:dyDescent="0.3">
      <c r="A9">
        <v>1</v>
      </c>
      <c r="B9">
        <v>2</v>
      </c>
      <c r="C9">
        <v>5.4794520547945206E-3</v>
      </c>
      <c r="D9" s="1">
        <v>1.000274010136661</v>
      </c>
      <c r="E9" s="1">
        <v>0.99972606492432659</v>
      </c>
    </row>
    <row r="10" spans="1:12" x14ac:dyDescent="0.3">
      <c r="A10">
        <v>1</v>
      </c>
      <c r="B10">
        <v>3</v>
      </c>
      <c r="C10">
        <v>8.21917808219178E-3</v>
      </c>
      <c r="D10" s="1">
        <v>1.0004110433592888</v>
      </c>
      <c r="E10" s="1">
        <v>0.99958912552793444</v>
      </c>
    </row>
    <row r="11" spans="1:12" ht="15" customHeight="1" x14ac:dyDescent="0.3">
      <c r="A11">
        <v>1</v>
      </c>
      <c r="B11">
        <v>4</v>
      </c>
      <c r="C11">
        <v>1.0958904109589041E-2</v>
      </c>
      <c r="D11" s="1">
        <v>1.0005480953548769</v>
      </c>
      <c r="E11" s="1">
        <v>0.99945220488907882</v>
      </c>
    </row>
    <row r="12" spans="1:12" x14ac:dyDescent="0.3">
      <c r="A12">
        <v>1</v>
      </c>
      <c r="B12">
        <v>5</v>
      </c>
      <c r="C12">
        <v>1.3698630136986301E-2</v>
      </c>
      <c r="D12" s="1">
        <v>1.0006851661259968</v>
      </c>
      <c r="E12" s="1">
        <v>0.99931530300519056</v>
      </c>
    </row>
    <row r="13" spans="1:12" x14ac:dyDescent="0.3">
      <c r="A13">
        <v>1</v>
      </c>
      <c r="B13">
        <v>6</v>
      </c>
      <c r="C13">
        <v>1.643835616438356E-2</v>
      </c>
      <c r="D13" s="1">
        <v>1.0008222556752209</v>
      </c>
      <c r="E13" s="1">
        <v>0.9991784198737006</v>
      </c>
    </row>
    <row r="14" spans="1:12" x14ac:dyDescent="0.3">
      <c r="A14">
        <v>1</v>
      </c>
      <c r="B14">
        <v>7</v>
      </c>
      <c r="C14">
        <v>1.9178082191780823E-2</v>
      </c>
      <c r="D14" s="1">
        <v>1.0009593640051215</v>
      </c>
      <c r="E14" s="1">
        <v>0.99904155549204032</v>
      </c>
    </row>
    <row r="15" spans="1:12" x14ac:dyDescent="0.3">
      <c r="A15">
        <v>1</v>
      </c>
      <c r="B15">
        <v>8</v>
      </c>
      <c r="C15">
        <v>2.1917808219178082E-2</v>
      </c>
      <c r="D15" s="1">
        <v>1.0010964911182718</v>
      </c>
      <c r="E15" s="1">
        <v>0.99890470985764124</v>
      </c>
    </row>
    <row r="16" spans="1:12" x14ac:dyDescent="0.3">
      <c r="A16">
        <v>1</v>
      </c>
      <c r="B16">
        <v>9</v>
      </c>
      <c r="C16">
        <v>2.4657534246575342E-2</v>
      </c>
      <c r="D16" s="1">
        <v>1.0012336370172445</v>
      </c>
      <c r="E16" s="1">
        <v>0.99876788296793573</v>
      </c>
    </row>
    <row r="17" spans="1:5" x14ac:dyDescent="0.3">
      <c r="A17">
        <v>1</v>
      </c>
      <c r="B17">
        <v>10</v>
      </c>
      <c r="C17">
        <v>2.7397260273972601E-2</v>
      </c>
      <c r="D17" s="1">
        <v>1.0013708017046139</v>
      </c>
      <c r="E17" s="1">
        <v>0.99863107482035596</v>
      </c>
    </row>
    <row r="18" spans="1:5" x14ac:dyDescent="0.3">
      <c r="A18">
        <v>1</v>
      </c>
      <c r="B18">
        <v>11</v>
      </c>
      <c r="C18">
        <v>3.0136986301369864E-2</v>
      </c>
      <c r="D18" s="1">
        <v>1.0015079851829531</v>
      </c>
      <c r="E18" s="1">
        <v>0.99849428541233465</v>
      </c>
    </row>
    <row r="19" spans="1:5" x14ac:dyDescent="0.3">
      <c r="A19">
        <v>1</v>
      </c>
      <c r="B19">
        <v>12</v>
      </c>
      <c r="C19">
        <v>3.287671232876712E-2</v>
      </c>
      <c r="D19" s="1">
        <v>1.0016451874548371</v>
      </c>
      <c r="E19" s="1">
        <v>0.99835751474130519</v>
      </c>
    </row>
    <row r="20" spans="1:5" x14ac:dyDescent="0.3">
      <c r="A20">
        <v>1</v>
      </c>
      <c r="B20">
        <v>13</v>
      </c>
      <c r="C20">
        <v>3.5616438356164383E-2</v>
      </c>
      <c r="D20" s="1">
        <v>1.0017824085228402</v>
      </c>
      <c r="E20" s="1">
        <v>0.99822076280470085</v>
      </c>
    </row>
    <row r="21" spans="1:5" x14ac:dyDescent="0.3">
      <c r="A21">
        <v>1</v>
      </c>
      <c r="B21">
        <v>14</v>
      </c>
      <c r="C21">
        <v>3.8356164383561646E-2</v>
      </c>
      <c r="D21" s="1">
        <v>1.0019196483895374</v>
      </c>
      <c r="E21" s="1">
        <v>0.99808402959995546</v>
      </c>
    </row>
    <row r="22" spans="1:5" x14ac:dyDescent="0.3">
      <c r="A22">
        <v>1</v>
      </c>
      <c r="B22">
        <v>15</v>
      </c>
      <c r="C22">
        <v>4.1095890410958902E-2</v>
      </c>
      <c r="D22" s="1">
        <v>1.0020569070575041</v>
      </c>
      <c r="E22" s="1">
        <v>0.99794731512450319</v>
      </c>
    </row>
    <row r="23" spans="1:5" x14ac:dyDescent="0.3">
      <c r="A23">
        <v>1</v>
      </c>
      <c r="B23">
        <v>16</v>
      </c>
      <c r="C23">
        <v>4.3835616438356165E-2</v>
      </c>
      <c r="D23" s="1">
        <v>1.0021941845293159</v>
      </c>
      <c r="E23" s="1">
        <v>0.99781061937577853</v>
      </c>
    </row>
    <row r="24" spans="1:5" x14ac:dyDescent="0.3">
      <c r="A24">
        <v>1</v>
      </c>
      <c r="B24">
        <v>17</v>
      </c>
      <c r="C24">
        <v>4.6575342465753428E-2</v>
      </c>
      <c r="D24" s="1">
        <v>1.002331480807549</v>
      </c>
      <c r="E24" s="1">
        <v>0.99767394235121643</v>
      </c>
    </row>
    <row r="25" spans="1:5" x14ac:dyDescent="0.3">
      <c r="A25">
        <v>1</v>
      </c>
      <c r="B25">
        <v>18</v>
      </c>
      <c r="C25">
        <v>4.9315068493150684E-2</v>
      </c>
      <c r="D25" s="1">
        <v>1.0024687958947796</v>
      </c>
      <c r="E25" s="1">
        <v>0.99753728404825204</v>
      </c>
    </row>
    <row r="26" spans="1:5" x14ac:dyDescent="0.3">
      <c r="A26">
        <v>1</v>
      </c>
      <c r="B26">
        <v>19</v>
      </c>
      <c r="C26">
        <v>5.2054794520547946E-2</v>
      </c>
      <c r="D26" s="1">
        <v>1.0026061297935847</v>
      </c>
      <c r="E26" s="1">
        <v>0.99740064446432108</v>
      </c>
    </row>
    <row r="27" spans="1:5" x14ac:dyDescent="0.3">
      <c r="A27">
        <v>1</v>
      </c>
      <c r="B27">
        <v>20</v>
      </c>
      <c r="C27">
        <v>5.4794520547945202E-2</v>
      </c>
      <c r="D27" s="1">
        <v>1.0027434825065411</v>
      </c>
      <c r="E27" s="1">
        <v>0.99726402359685928</v>
      </c>
    </row>
    <row r="28" spans="1:5" x14ac:dyDescent="0.3">
      <c r="A28">
        <v>1</v>
      </c>
      <c r="B28">
        <v>21</v>
      </c>
      <c r="C28">
        <v>5.7534246575342465E-2</v>
      </c>
      <c r="D28" s="1">
        <v>1.0028808540362264</v>
      </c>
      <c r="E28" s="1">
        <v>0.99712742144330302</v>
      </c>
    </row>
    <row r="29" spans="1:5" x14ac:dyDescent="0.3">
      <c r="A29">
        <v>1</v>
      </c>
      <c r="B29">
        <v>22</v>
      </c>
      <c r="C29">
        <v>6.0273972602739728E-2</v>
      </c>
      <c r="D29" s="1">
        <v>1.0030182443852185</v>
      </c>
      <c r="E29" s="1">
        <v>0.9969908380010889</v>
      </c>
    </row>
    <row r="30" spans="1:5" x14ac:dyDescent="0.3">
      <c r="A30">
        <v>1</v>
      </c>
      <c r="B30">
        <v>23</v>
      </c>
      <c r="C30">
        <v>6.3013698630136991E-2</v>
      </c>
      <c r="D30" s="1">
        <v>1.0031556535560955</v>
      </c>
      <c r="E30" s="1">
        <v>0.99685427326765397</v>
      </c>
    </row>
    <row r="31" spans="1:5" x14ac:dyDescent="0.3">
      <c r="A31">
        <v>1</v>
      </c>
      <c r="B31">
        <v>24</v>
      </c>
      <c r="C31">
        <v>6.575342465753424E-2</v>
      </c>
      <c r="D31" s="1">
        <v>1.0032930815514358</v>
      </c>
      <c r="E31" s="1">
        <v>0.99671772724043539</v>
      </c>
    </row>
    <row r="32" spans="1:5" x14ac:dyDescent="0.3">
      <c r="A32">
        <v>1</v>
      </c>
      <c r="B32">
        <v>25</v>
      </c>
      <c r="C32">
        <v>6.8493150684931503E-2</v>
      </c>
      <c r="D32" s="1">
        <v>1.0034305283738185</v>
      </c>
      <c r="E32" s="1">
        <v>0.996581199916871</v>
      </c>
    </row>
    <row r="33" spans="1:5" x14ac:dyDescent="0.3">
      <c r="A33">
        <v>1</v>
      </c>
      <c r="B33">
        <v>26</v>
      </c>
      <c r="C33">
        <v>7.1232876712328766E-2</v>
      </c>
      <c r="D33" s="1">
        <v>1.0035679940258229</v>
      </c>
      <c r="E33" s="1">
        <v>0.99644469129439872</v>
      </c>
    </row>
    <row r="34" spans="1:5" x14ac:dyDescent="0.3">
      <c r="A34">
        <v>1</v>
      </c>
      <c r="B34">
        <v>27</v>
      </c>
      <c r="C34">
        <v>7.3972602739726029E-2</v>
      </c>
      <c r="D34" s="1">
        <v>1.0037054785100281</v>
      </c>
      <c r="E34" s="1">
        <v>0.99630820137045706</v>
      </c>
    </row>
    <row r="35" spans="1:5" x14ac:dyDescent="0.3">
      <c r="A35">
        <v>1</v>
      </c>
      <c r="B35">
        <v>28</v>
      </c>
      <c r="C35">
        <v>7.6712328767123292E-2</v>
      </c>
      <c r="D35" s="1">
        <v>1.0038429818290144</v>
      </c>
      <c r="E35" s="1">
        <v>0.99617173014248461</v>
      </c>
    </row>
    <row r="36" spans="1:5" x14ac:dyDescent="0.3">
      <c r="A36">
        <v>1</v>
      </c>
      <c r="B36">
        <v>29</v>
      </c>
      <c r="C36">
        <v>7.9452054794520555E-2</v>
      </c>
      <c r="D36" s="1">
        <v>1.003980503985362</v>
      </c>
      <c r="E36" s="1">
        <v>0.99603527760792065</v>
      </c>
    </row>
    <row r="37" spans="1:5" x14ac:dyDescent="0.3">
      <c r="A37">
        <v>1</v>
      </c>
      <c r="B37">
        <v>30</v>
      </c>
      <c r="C37">
        <v>8.2191780821917804E-2</v>
      </c>
      <c r="D37" s="1">
        <v>1.0041180449816514</v>
      </c>
      <c r="E37" s="1">
        <v>0.99589884376420434</v>
      </c>
    </row>
    <row r="38" spans="1:5" x14ac:dyDescent="0.3">
      <c r="A38">
        <v>1</v>
      </c>
      <c r="B38">
        <v>31</v>
      </c>
      <c r="C38">
        <v>8.4931506849315067E-2</v>
      </c>
      <c r="D38" s="1">
        <v>1.0042556048204638</v>
      </c>
      <c r="E38" s="1">
        <v>0.99576242860877573</v>
      </c>
    </row>
    <row r="39" spans="1:5" x14ac:dyDescent="0.3">
      <c r="A39">
        <v>1</v>
      </c>
      <c r="B39">
        <v>32</v>
      </c>
      <c r="C39">
        <v>8.7671232876712329E-2</v>
      </c>
      <c r="D39" s="1">
        <v>1.0043931835043804</v>
      </c>
      <c r="E39" s="1">
        <v>0.99562603213907475</v>
      </c>
    </row>
    <row r="40" spans="1:5" x14ac:dyDescent="0.3">
      <c r="A40">
        <v>1</v>
      </c>
      <c r="B40">
        <v>33</v>
      </c>
      <c r="C40">
        <v>9.0410958904109592E-2</v>
      </c>
      <c r="D40" s="1">
        <v>1.0045307810359831</v>
      </c>
      <c r="E40" s="1">
        <v>0.995489654352542</v>
      </c>
    </row>
    <row r="41" spans="1:5" x14ac:dyDescent="0.3">
      <c r="A41">
        <v>1</v>
      </c>
      <c r="B41">
        <v>34</v>
      </c>
      <c r="C41">
        <v>9.3150684931506855E-2</v>
      </c>
      <c r="D41" s="1">
        <v>1.0046683974178539</v>
      </c>
      <c r="E41" s="1">
        <v>0.99535329524661831</v>
      </c>
    </row>
    <row r="42" spans="1:5" x14ac:dyDescent="0.3">
      <c r="A42">
        <v>1</v>
      </c>
      <c r="B42">
        <v>35</v>
      </c>
      <c r="C42">
        <v>9.5890410958904104E-2</v>
      </c>
      <c r="D42" s="1">
        <v>1.004806032652575</v>
      </c>
      <c r="E42" s="1">
        <v>0.99521695481874484</v>
      </c>
    </row>
    <row r="43" spans="1:5" x14ac:dyDescent="0.3">
      <c r="A43">
        <v>1</v>
      </c>
      <c r="B43">
        <v>36</v>
      </c>
      <c r="C43">
        <v>9.8630136986301367E-2</v>
      </c>
      <c r="D43" s="1">
        <v>1.0049436867427293</v>
      </c>
      <c r="E43" s="1">
        <v>0.99508063306636318</v>
      </c>
    </row>
    <row r="44" spans="1:5" x14ac:dyDescent="0.3">
      <c r="A44">
        <v>1</v>
      </c>
      <c r="B44">
        <v>37</v>
      </c>
      <c r="C44">
        <v>0.10136986301369863</v>
      </c>
      <c r="D44" s="1">
        <v>1.0050813596908998</v>
      </c>
      <c r="E44" s="1">
        <v>0.99494432998691518</v>
      </c>
    </row>
    <row r="45" spans="1:5" x14ac:dyDescent="0.3">
      <c r="A45">
        <v>1</v>
      </c>
      <c r="B45">
        <v>38</v>
      </c>
      <c r="C45">
        <v>0.10410958904109589</v>
      </c>
      <c r="D45" s="1">
        <v>1.0052190514996702</v>
      </c>
      <c r="E45" s="1">
        <v>0.99480804557784297</v>
      </c>
    </row>
    <row r="46" spans="1:5" x14ac:dyDescent="0.3">
      <c r="A46">
        <v>1</v>
      </c>
      <c r="B46">
        <v>39</v>
      </c>
      <c r="C46">
        <v>0.10684931506849316</v>
      </c>
      <c r="D46" s="1">
        <v>1.0053567621716242</v>
      </c>
      <c r="E46" s="1">
        <v>0.99467177983658939</v>
      </c>
    </row>
    <row r="47" spans="1:5" x14ac:dyDescent="0.3">
      <c r="A47">
        <v>1</v>
      </c>
      <c r="B47">
        <v>40</v>
      </c>
      <c r="C47">
        <v>0.1095890410958904</v>
      </c>
      <c r="D47" s="1">
        <v>1.0054944917093458</v>
      </c>
      <c r="E47" s="1">
        <v>0.99453553276059714</v>
      </c>
    </row>
    <row r="48" spans="1:5" x14ac:dyDescent="0.3">
      <c r="A48">
        <v>1</v>
      </c>
      <c r="B48">
        <v>41</v>
      </c>
      <c r="C48">
        <v>0.11232876712328767</v>
      </c>
      <c r="D48" s="1">
        <v>1.0056322401154199</v>
      </c>
      <c r="E48" s="1">
        <v>0.99439930434730961</v>
      </c>
    </row>
    <row r="49" spans="1:5" x14ac:dyDescent="0.3">
      <c r="A49">
        <v>1</v>
      </c>
      <c r="B49">
        <v>42</v>
      </c>
      <c r="C49">
        <v>0.11506849315068493</v>
      </c>
      <c r="D49" s="1">
        <v>1.0057700073924309</v>
      </c>
      <c r="E49" s="1">
        <v>0.99426309459417039</v>
      </c>
    </row>
    <row r="50" spans="1:5" x14ac:dyDescent="0.3">
      <c r="A50">
        <v>1</v>
      </c>
      <c r="B50">
        <v>43</v>
      </c>
      <c r="C50">
        <v>0.11780821917808219</v>
      </c>
      <c r="D50" s="1">
        <v>1.0059077935429643</v>
      </c>
      <c r="E50" s="1">
        <v>0.99412690349862365</v>
      </c>
    </row>
    <row r="51" spans="1:5" x14ac:dyDescent="0.3">
      <c r="A51">
        <v>1</v>
      </c>
      <c r="B51">
        <v>44</v>
      </c>
      <c r="C51">
        <v>0.12054794520547946</v>
      </c>
      <c r="D51" s="1">
        <v>1.006045598569606</v>
      </c>
      <c r="E51" s="1">
        <v>0.99399073105811353</v>
      </c>
    </row>
    <row r="52" spans="1:5" x14ac:dyDescent="0.3">
      <c r="A52">
        <v>1</v>
      </c>
      <c r="B52">
        <v>45</v>
      </c>
      <c r="C52">
        <v>0.12328767123287671</v>
      </c>
      <c r="D52" s="1">
        <v>1.0061834224749413</v>
      </c>
      <c r="E52" s="1">
        <v>0.99385457727008475</v>
      </c>
    </row>
    <row r="53" spans="1:5" x14ac:dyDescent="0.3">
      <c r="A53">
        <v>1</v>
      </c>
      <c r="B53">
        <v>46</v>
      </c>
      <c r="C53">
        <v>0.12602739726027398</v>
      </c>
      <c r="D53" s="1">
        <v>1.0063212652615572</v>
      </c>
      <c r="E53" s="1">
        <v>0.99371844213198246</v>
      </c>
    </row>
    <row r="54" spans="1:5" x14ac:dyDescent="0.3">
      <c r="A54">
        <v>1</v>
      </c>
      <c r="B54">
        <v>47</v>
      </c>
      <c r="C54">
        <v>0.12876712328767123</v>
      </c>
      <c r="D54" s="1">
        <v>1.0064591269320398</v>
      </c>
      <c r="E54" s="1">
        <v>0.99358232564125193</v>
      </c>
    </row>
    <row r="55" spans="1:5" x14ac:dyDescent="0.3">
      <c r="A55">
        <v>1</v>
      </c>
      <c r="B55">
        <v>48</v>
      </c>
      <c r="C55">
        <v>0.13150684931506848</v>
      </c>
      <c r="D55" s="1">
        <v>1.0065970074889763</v>
      </c>
      <c r="E55" s="1">
        <v>0.99344622779533898</v>
      </c>
    </row>
    <row r="56" spans="1:5" x14ac:dyDescent="0.3">
      <c r="A56">
        <v>1</v>
      </c>
      <c r="B56">
        <v>49</v>
      </c>
      <c r="C56">
        <v>0.13424657534246576</v>
      </c>
      <c r="D56" s="1">
        <v>1.006734906934954</v>
      </c>
      <c r="E56" s="1">
        <v>0.99331014859168965</v>
      </c>
    </row>
    <row r="57" spans="1:5" x14ac:dyDescent="0.3">
      <c r="A57">
        <v>1</v>
      </c>
      <c r="B57">
        <v>50</v>
      </c>
      <c r="C57">
        <v>0.13698630136986301</v>
      </c>
      <c r="D57" s="1">
        <v>1.0068728252725607</v>
      </c>
      <c r="E57" s="1">
        <v>0.99317408802775042</v>
      </c>
    </row>
    <row r="58" spans="1:5" x14ac:dyDescent="0.3">
      <c r="A58">
        <v>1</v>
      </c>
      <c r="B58">
        <v>51</v>
      </c>
      <c r="C58">
        <v>0.13972602739726028</v>
      </c>
      <c r="D58" s="1">
        <v>1.0070107625043845</v>
      </c>
      <c r="E58" s="1">
        <v>0.99303804610096802</v>
      </c>
    </row>
    <row r="59" spans="1:5" x14ac:dyDescent="0.3">
      <c r="A59">
        <v>1</v>
      </c>
      <c r="B59">
        <v>52</v>
      </c>
      <c r="C59">
        <v>0.14246575342465753</v>
      </c>
      <c r="D59" s="1">
        <v>1.0071487186330139</v>
      </c>
      <c r="E59" s="1">
        <v>0.99290202280878959</v>
      </c>
    </row>
    <row r="60" spans="1:5" x14ac:dyDescent="0.3">
      <c r="A60">
        <v>1</v>
      </c>
      <c r="B60">
        <v>53</v>
      </c>
      <c r="C60">
        <v>0.14520547945205478</v>
      </c>
      <c r="D60" s="1">
        <v>1.0072866936610374</v>
      </c>
      <c r="E60" s="1">
        <v>0.99276601814866272</v>
      </c>
    </row>
    <row r="61" spans="1:5" x14ac:dyDescent="0.3">
      <c r="A61">
        <v>1</v>
      </c>
      <c r="B61">
        <v>54</v>
      </c>
      <c r="C61">
        <v>0.14794520547945206</v>
      </c>
      <c r="D61" s="1">
        <v>1.0074246875910444</v>
      </c>
      <c r="E61" s="1">
        <v>0.99263003211803524</v>
      </c>
    </row>
    <row r="62" spans="1:5" x14ac:dyDescent="0.3">
      <c r="A62">
        <v>1</v>
      </c>
      <c r="B62">
        <v>55</v>
      </c>
      <c r="C62">
        <v>0.15068493150684931</v>
      </c>
      <c r="D62" s="1">
        <v>1.0075627004256242</v>
      </c>
      <c r="E62" s="1">
        <v>0.9924940647143552</v>
      </c>
    </row>
    <row r="63" spans="1:5" x14ac:dyDescent="0.3">
      <c r="A63">
        <v>1</v>
      </c>
      <c r="B63">
        <v>56</v>
      </c>
      <c r="C63">
        <v>0.15342465753424658</v>
      </c>
      <c r="D63" s="1">
        <v>1.0077007321673668</v>
      </c>
      <c r="E63" s="1">
        <v>0.99235811593507128</v>
      </c>
    </row>
    <row r="64" spans="1:5" x14ac:dyDescent="0.3">
      <c r="A64">
        <v>1</v>
      </c>
      <c r="B64">
        <v>57</v>
      </c>
      <c r="C64">
        <v>0.15616438356164383</v>
      </c>
      <c r="D64" s="1">
        <v>1.0078387828188624</v>
      </c>
      <c r="E64" s="1">
        <v>0.99222218577763233</v>
      </c>
    </row>
    <row r="65" spans="1:5" x14ac:dyDescent="0.3">
      <c r="A65">
        <v>1</v>
      </c>
      <c r="B65">
        <v>58</v>
      </c>
      <c r="C65">
        <v>0.15890410958904111</v>
      </c>
      <c r="D65" s="1">
        <v>1.0079768523827013</v>
      </c>
      <c r="E65" s="1">
        <v>0.99208627423948748</v>
      </c>
    </row>
    <row r="66" spans="1:5" x14ac:dyDescent="0.3">
      <c r="A66">
        <v>1</v>
      </c>
      <c r="B66">
        <v>59</v>
      </c>
      <c r="C66">
        <v>0.16164383561643836</v>
      </c>
      <c r="D66" s="1">
        <v>1.0081149408614747</v>
      </c>
      <c r="E66" s="1">
        <v>0.99195038131808644</v>
      </c>
    </row>
    <row r="67" spans="1:5" x14ac:dyDescent="0.3">
      <c r="A67">
        <v>1</v>
      </c>
      <c r="B67">
        <v>60</v>
      </c>
      <c r="C67">
        <v>0.16438356164383561</v>
      </c>
      <c r="D67" s="1">
        <v>1.0082530482577738</v>
      </c>
      <c r="E67" s="1">
        <v>0.99181450701087914</v>
      </c>
    </row>
    <row r="68" spans="1:5" x14ac:dyDescent="0.3">
      <c r="A68">
        <v>1</v>
      </c>
      <c r="B68">
        <v>61</v>
      </c>
      <c r="C68">
        <v>0.16712328767123288</v>
      </c>
      <c r="D68" s="1">
        <v>1.00839117457419</v>
      </c>
      <c r="E68" s="1">
        <v>0.99167865131531585</v>
      </c>
    </row>
    <row r="69" spans="1:5" x14ac:dyDescent="0.3">
      <c r="A69">
        <v>1</v>
      </c>
      <c r="B69">
        <v>62</v>
      </c>
      <c r="C69">
        <v>0.16986301369863013</v>
      </c>
      <c r="D69" s="1">
        <v>1.0085293198133156</v>
      </c>
      <c r="E69" s="1">
        <v>0.99154281422884716</v>
      </c>
    </row>
    <row r="70" spans="1:5" x14ac:dyDescent="0.3">
      <c r="A70">
        <v>1</v>
      </c>
      <c r="B70">
        <v>63</v>
      </c>
      <c r="C70">
        <v>0.17260273972602741</v>
      </c>
      <c r="D70" s="1">
        <v>1.0086674839777428</v>
      </c>
      <c r="E70" s="1">
        <v>0.9914069957489241</v>
      </c>
    </row>
    <row r="71" spans="1:5" x14ac:dyDescent="0.3">
      <c r="A71">
        <v>1</v>
      </c>
      <c r="B71">
        <v>64</v>
      </c>
      <c r="C71">
        <v>0.17534246575342466</v>
      </c>
      <c r="D71" s="1">
        <v>1.0088056670700642</v>
      </c>
      <c r="E71" s="1">
        <v>0.99127119587299795</v>
      </c>
    </row>
    <row r="72" spans="1:5" x14ac:dyDescent="0.3">
      <c r="A72">
        <v>1</v>
      </c>
      <c r="B72">
        <v>65</v>
      </c>
      <c r="C72">
        <v>0.17808219178082191</v>
      </c>
      <c r="D72" s="1">
        <v>1.0089438690928729</v>
      </c>
      <c r="E72" s="1">
        <v>0.99113541459852039</v>
      </c>
    </row>
    <row r="73" spans="1:5" x14ac:dyDescent="0.3">
      <c r="A73">
        <v>1</v>
      </c>
      <c r="B73">
        <v>66</v>
      </c>
      <c r="C73">
        <v>0.18082191780821918</v>
      </c>
      <c r="D73" s="1">
        <v>1.0090820900487625</v>
      </c>
      <c r="E73" s="1">
        <v>0.99099965192294359</v>
      </c>
    </row>
    <row r="74" spans="1:5" x14ac:dyDescent="0.3">
      <c r="A74">
        <v>1</v>
      </c>
      <c r="B74">
        <v>67</v>
      </c>
      <c r="C74">
        <v>0.18356164383561643</v>
      </c>
      <c r="D74" s="1">
        <v>1.0092203299403264</v>
      </c>
      <c r="E74" s="1">
        <v>0.9908639078437198</v>
      </c>
    </row>
    <row r="75" spans="1:5" x14ac:dyDescent="0.3">
      <c r="A75">
        <v>1</v>
      </c>
      <c r="B75">
        <v>68</v>
      </c>
      <c r="C75">
        <v>0.18630136986301371</v>
      </c>
      <c r="D75" s="1">
        <v>1.0093585887701588</v>
      </c>
      <c r="E75" s="1">
        <v>0.99072818235830173</v>
      </c>
    </row>
    <row r="76" spans="1:5" x14ac:dyDescent="0.3">
      <c r="A76">
        <v>1</v>
      </c>
      <c r="B76">
        <v>69</v>
      </c>
      <c r="C76">
        <v>0.18904109589041096</v>
      </c>
      <c r="D76" s="1">
        <v>1.0094968665408544</v>
      </c>
      <c r="E76" s="1">
        <v>0.99059247546414253</v>
      </c>
    </row>
    <row r="77" spans="1:5" x14ac:dyDescent="0.3">
      <c r="A77">
        <v>1</v>
      </c>
      <c r="B77">
        <v>70</v>
      </c>
      <c r="C77">
        <v>0.19178082191780821</v>
      </c>
      <c r="D77" s="1">
        <v>1.0096351632550076</v>
      </c>
      <c r="E77" s="1">
        <v>0.99045678715869567</v>
      </c>
    </row>
    <row r="78" spans="1:5" x14ac:dyDescent="0.3">
      <c r="A78">
        <v>1</v>
      </c>
      <c r="B78">
        <v>71</v>
      </c>
      <c r="C78">
        <v>0.19452054794520549</v>
      </c>
      <c r="D78" s="1">
        <v>1.009773478915214</v>
      </c>
      <c r="E78" s="1">
        <v>0.99032111743941476</v>
      </c>
    </row>
    <row r="79" spans="1:5" x14ac:dyDescent="0.3">
      <c r="A79">
        <v>1</v>
      </c>
      <c r="B79">
        <v>72</v>
      </c>
      <c r="C79">
        <v>0.19726027397260273</v>
      </c>
      <c r="D79" s="1">
        <v>1.0099118135240688</v>
      </c>
      <c r="E79" s="1">
        <v>0.99018546630375415</v>
      </c>
    </row>
    <row r="80" spans="1:5" x14ac:dyDescent="0.3">
      <c r="A80">
        <v>1</v>
      </c>
      <c r="B80">
        <v>73</v>
      </c>
      <c r="C80">
        <v>0.2</v>
      </c>
      <c r="D80" s="1">
        <v>1.0100501670841679</v>
      </c>
      <c r="E80" s="1">
        <v>0.99004983374916811</v>
      </c>
    </row>
    <row r="81" spans="1:5" x14ac:dyDescent="0.3">
      <c r="A81">
        <v>1</v>
      </c>
      <c r="B81">
        <v>74</v>
      </c>
      <c r="C81">
        <v>0.20273972602739726</v>
      </c>
      <c r="D81" s="1">
        <v>1.0101885395981081</v>
      </c>
      <c r="E81" s="1">
        <v>0.98991421977311145</v>
      </c>
    </row>
    <row r="82" spans="1:5" x14ac:dyDescent="0.3">
      <c r="A82">
        <v>1</v>
      </c>
      <c r="B82">
        <v>75</v>
      </c>
      <c r="C82">
        <v>0.20547945205479451</v>
      </c>
      <c r="D82" s="1">
        <v>1.0103269310684853</v>
      </c>
      <c r="E82" s="1">
        <v>0.98977862437303954</v>
      </c>
    </row>
    <row r="83" spans="1:5" x14ac:dyDescent="0.3">
      <c r="A83">
        <v>1</v>
      </c>
      <c r="B83">
        <v>76</v>
      </c>
      <c r="C83">
        <v>0.20821917808219179</v>
      </c>
      <c r="D83" s="1">
        <v>1.0104653414978966</v>
      </c>
      <c r="E83" s="1">
        <v>0.98964304754640775</v>
      </c>
    </row>
    <row r="84" spans="1:5" x14ac:dyDescent="0.3">
      <c r="A84">
        <v>1</v>
      </c>
      <c r="B84">
        <v>77</v>
      </c>
      <c r="C84">
        <v>0.21095890410958903</v>
      </c>
      <c r="D84" s="1">
        <v>1.0106037708889395</v>
      </c>
      <c r="E84" s="1">
        <v>0.989507489290672</v>
      </c>
    </row>
    <row r="85" spans="1:5" x14ac:dyDescent="0.3">
      <c r="A85">
        <v>1</v>
      </c>
      <c r="B85">
        <v>78</v>
      </c>
      <c r="C85">
        <v>0.21369863013698631</v>
      </c>
      <c r="D85" s="1">
        <v>1.0107422192442115</v>
      </c>
      <c r="E85" s="1">
        <v>0.98937194960328845</v>
      </c>
    </row>
    <row r="86" spans="1:5" x14ac:dyDescent="0.3">
      <c r="A86">
        <v>1</v>
      </c>
      <c r="B86">
        <v>79</v>
      </c>
      <c r="C86">
        <v>0.21643835616438356</v>
      </c>
      <c r="D86" s="1">
        <v>1.0108806865663109</v>
      </c>
      <c r="E86" s="1">
        <v>0.98923642848171378</v>
      </c>
    </row>
    <row r="87" spans="1:5" x14ac:dyDescent="0.3">
      <c r="A87">
        <v>1</v>
      </c>
      <c r="B87">
        <v>80</v>
      </c>
      <c r="C87">
        <v>0.21917808219178081</v>
      </c>
      <c r="D87" s="1">
        <v>1.0110191728578357</v>
      </c>
      <c r="E87" s="1">
        <v>0.98910092592340471</v>
      </c>
    </row>
    <row r="88" spans="1:5" x14ac:dyDescent="0.3">
      <c r="A88">
        <v>1</v>
      </c>
      <c r="B88">
        <v>81</v>
      </c>
      <c r="C88">
        <v>0.22191780821917809</v>
      </c>
      <c r="D88" s="1">
        <v>1.0111576781213847</v>
      </c>
      <c r="E88" s="1">
        <v>0.9889654419258187</v>
      </c>
    </row>
    <row r="89" spans="1:5" x14ac:dyDescent="0.3">
      <c r="A89">
        <v>1</v>
      </c>
      <c r="B89">
        <v>82</v>
      </c>
      <c r="C89">
        <v>0.22465753424657534</v>
      </c>
      <c r="D89" s="1">
        <v>1.0112962023595573</v>
      </c>
      <c r="E89" s="1">
        <v>0.98882997648641324</v>
      </c>
    </row>
    <row r="90" spans="1:5" x14ac:dyDescent="0.3">
      <c r="A90">
        <v>1</v>
      </c>
      <c r="B90">
        <v>83</v>
      </c>
      <c r="C90">
        <v>0.22739726027397261</v>
      </c>
      <c r="D90" s="1">
        <v>1.0114347455749526</v>
      </c>
      <c r="E90" s="1">
        <v>0.98869452960264637</v>
      </c>
    </row>
    <row r="91" spans="1:5" x14ac:dyDescent="0.3">
      <c r="A91">
        <v>1</v>
      </c>
      <c r="B91">
        <v>84</v>
      </c>
      <c r="C91">
        <v>0.23013698630136986</v>
      </c>
      <c r="D91" s="1">
        <v>1.0115733077701705</v>
      </c>
      <c r="E91" s="1">
        <v>0.98855910127197633</v>
      </c>
    </row>
    <row r="92" spans="1:5" x14ac:dyDescent="0.3">
      <c r="A92">
        <v>1</v>
      </c>
      <c r="B92">
        <v>85</v>
      </c>
      <c r="C92">
        <v>0.23287671232876711</v>
      </c>
      <c r="D92" s="1">
        <v>1.0117118889478112</v>
      </c>
      <c r="E92" s="1">
        <v>0.98842369149186182</v>
      </c>
    </row>
    <row r="93" spans="1:5" x14ac:dyDescent="0.3">
      <c r="A93">
        <v>1</v>
      </c>
      <c r="B93">
        <v>86</v>
      </c>
      <c r="C93">
        <v>0.23561643835616439</v>
      </c>
      <c r="D93" s="1">
        <v>1.0118504891104751</v>
      </c>
      <c r="E93" s="1">
        <v>0.98828830025976178</v>
      </c>
    </row>
    <row r="94" spans="1:5" x14ac:dyDescent="0.3">
      <c r="A94">
        <v>1</v>
      </c>
      <c r="B94">
        <v>87</v>
      </c>
      <c r="C94">
        <v>0.23835616438356164</v>
      </c>
      <c r="D94" s="1">
        <v>1.0119891082607633</v>
      </c>
      <c r="E94" s="1">
        <v>0.98815292757313555</v>
      </c>
    </row>
    <row r="95" spans="1:5" x14ac:dyDescent="0.3">
      <c r="A95">
        <v>1</v>
      </c>
      <c r="B95">
        <v>88</v>
      </c>
      <c r="C95">
        <v>0.24109589041095891</v>
      </c>
      <c r="D95" s="1">
        <v>1.0121277464012768</v>
      </c>
      <c r="E95" s="1">
        <v>0.98801757342944296</v>
      </c>
    </row>
    <row r="96" spans="1:5" x14ac:dyDescent="0.3">
      <c r="A96">
        <v>1</v>
      </c>
      <c r="B96">
        <v>89</v>
      </c>
      <c r="C96">
        <v>0.24383561643835616</v>
      </c>
      <c r="D96" s="1">
        <v>1.0122664035346172</v>
      </c>
      <c r="E96" s="1">
        <v>0.98788223782614393</v>
      </c>
    </row>
    <row r="97" spans="1:5" x14ac:dyDescent="0.3">
      <c r="A97">
        <v>1</v>
      </c>
      <c r="B97">
        <v>90</v>
      </c>
      <c r="C97">
        <v>0.24657534246575341</v>
      </c>
      <c r="D97" s="1">
        <v>1.0124050796633863</v>
      </c>
      <c r="E97" s="1">
        <v>0.98774692076069892</v>
      </c>
    </row>
    <row r="98" spans="1:5" x14ac:dyDescent="0.3">
      <c r="A98">
        <v>1</v>
      </c>
      <c r="B98">
        <v>91</v>
      </c>
      <c r="C98">
        <v>0.24931506849315069</v>
      </c>
      <c r="D98" s="1">
        <v>1.0125437747901869</v>
      </c>
      <c r="E98" s="1">
        <v>0.98761162223056864</v>
      </c>
    </row>
    <row r="99" spans="1:5" x14ac:dyDescent="0.3">
      <c r="A99">
        <v>1</v>
      </c>
      <c r="B99">
        <v>92</v>
      </c>
      <c r="C99">
        <v>0.25205479452054796</v>
      </c>
      <c r="D99" s="1">
        <v>1.0126824889176211</v>
      </c>
      <c r="E99" s="1">
        <v>0.98747634223321412</v>
      </c>
    </row>
    <row r="100" spans="1:5" x14ac:dyDescent="0.3">
      <c r="A100">
        <v>1</v>
      </c>
      <c r="B100">
        <v>93</v>
      </c>
      <c r="C100">
        <v>0.25479452054794521</v>
      </c>
      <c r="D100" s="1">
        <v>1.0128212220482924</v>
      </c>
      <c r="E100" s="1">
        <v>0.98734108076609695</v>
      </c>
    </row>
    <row r="101" spans="1:5" x14ac:dyDescent="0.3">
      <c r="A101">
        <v>1</v>
      </c>
      <c r="B101">
        <v>94</v>
      </c>
      <c r="C101">
        <v>0.25753424657534246</v>
      </c>
      <c r="D101" s="1">
        <v>1.0129599741848037</v>
      </c>
      <c r="E101" s="1">
        <v>0.98720583782667881</v>
      </c>
    </row>
    <row r="102" spans="1:5" x14ac:dyDescent="0.3">
      <c r="A102">
        <v>1</v>
      </c>
      <c r="B102">
        <v>95</v>
      </c>
      <c r="C102">
        <v>0.26027397260273971</v>
      </c>
      <c r="D102" s="1">
        <v>1.0130987453297589</v>
      </c>
      <c r="E102" s="1">
        <v>0.98707061341242186</v>
      </c>
    </row>
    <row r="103" spans="1:5" x14ac:dyDescent="0.3">
      <c r="A103">
        <v>1</v>
      </c>
      <c r="B103">
        <v>96</v>
      </c>
      <c r="C103">
        <v>0.26301369863013696</v>
      </c>
      <c r="D103" s="1">
        <v>1.0132375354857621</v>
      </c>
      <c r="E103" s="1">
        <v>0.98693540752078845</v>
      </c>
    </row>
    <row r="104" spans="1:5" x14ac:dyDescent="0.3">
      <c r="A104">
        <v>1</v>
      </c>
      <c r="B104">
        <v>97</v>
      </c>
      <c r="C104">
        <v>0.26575342465753427</v>
      </c>
      <c r="D104" s="1">
        <v>1.0133763446554176</v>
      </c>
      <c r="E104" s="1">
        <v>0.98680022014924174</v>
      </c>
    </row>
    <row r="105" spans="1:5" x14ac:dyDescent="0.3">
      <c r="A105">
        <v>1</v>
      </c>
      <c r="B105">
        <v>98</v>
      </c>
      <c r="C105">
        <v>0.26849315068493151</v>
      </c>
      <c r="D105" s="1">
        <v>1.0135151728413305</v>
      </c>
      <c r="E105" s="1">
        <v>0.98666505129524451</v>
      </c>
    </row>
    <row r="106" spans="1:5" x14ac:dyDescent="0.3">
      <c r="A106">
        <v>1</v>
      </c>
      <c r="B106">
        <v>99</v>
      </c>
      <c r="C106">
        <v>0.27123287671232876</v>
      </c>
      <c r="D106" s="1">
        <v>1.0136540200461057</v>
      </c>
      <c r="E106" s="1">
        <v>0.98652990095626059</v>
      </c>
    </row>
    <row r="107" spans="1:5" x14ac:dyDescent="0.3">
      <c r="A107">
        <v>1</v>
      </c>
      <c r="B107">
        <v>100</v>
      </c>
      <c r="C107">
        <v>0.27397260273972601</v>
      </c>
      <c r="D107" s="1">
        <v>1.0137928862723486</v>
      </c>
      <c r="E107" s="1">
        <v>0.98639476912975366</v>
      </c>
    </row>
    <row r="108" spans="1:5" x14ac:dyDescent="0.3">
      <c r="A108">
        <v>1</v>
      </c>
      <c r="B108">
        <v>101</v>
      </c>
      <c r="C108">
        <v>0.27671232876712326</v>
      </c>
      <c r="D108" s="1">
        <v>1.0139317715226654</v>
      </c>
      <c r="E108" s="1">
        <v>0.98625965581318809</v>
      </c>
    </row>
    <row r="109" spans="1:5" x14ac:dyDescent="0.3">
      <c r="A109">
        <v>1</v>
      </c>
      <c r="B109">
        <v>102</v>
      </c>
      <c r="C109">
        <v>0.27945205479452057</v>
      </c>
      <c r="D109" s="1">
        <v>1.014070675799662</v>
      </c>
      <c r="E109" s="1">
        <v>0.98612456100402823</v>
      </c>
    </row>
    <row r="110" spans="1:5" x14ac:dyDescent="0.3">
      <c r="A110">
        <v>1</v>
      </c>
      <c r="B110">
        <v>103</v>
      </c>
      <c r="C110">
        <v>0.28219178082191781</v>
      </c>
      <c r="D110" s="1">
        <v>1.0142095991059452</v>
      </c>
      <c r="E110" s="1">
        <v>0.98598948469973924</v>
      </c>
    </row>
    <row r="111" spans="1:5" x14ac:dyDescent="0.3">
      <c r="A111">
        <v>1</v>
      </c>
      <c r="B111">
        <v>104</v>
      </c>
      <c r="C111">
        <v>0.28493150684931506</v>
      </c>
      <c r="D111" s="1">
        <v>1.0143485414441218</v>
      </c>
      <c r="E111" s="1">
        <v>0.98585442689778624</v>
      </c>
    </row>
    <row r="112" spans="1:5" x14ac:dyDescent="0.3">
      <c r="A112">
        <v>1</v>
      </c>
      <c r="B112">
        <v>105</v>
      </c>
      <c r="C112">
        <v>0.28767123287671231</v>
      </c>
      <c r="D112" s="1">
        <v>1.014487502816799</v>
      </c>
      <c r="E112" s="1">
        <v>0.98571938759563482</v>
      </c>
    </row>
    <row r="113" spans="1:5" x14ac:dyDescent="0.3">
      <c r="A113">
        <v>1</v>
      </c>
      <c r="B113">
        <v>106</v>
      </c>
      <c r="C113">
        <v>0.29041095890410956</v>
      </c>
      <c r="D113" s="1">
        <v>1.0146264832265848</v>
      </c>
      <c r="E113" s="1">
        <v>0.98558436679075101</v>
      </c>
    </row>
    <row r="114" spans="1:5" x14ac:dyDescent="0.3">
      <c r="A114">
        <v>1</v>
      </c>
      <c r="B114">
        <v>107</v>
      </c>
      <c r="C114">
        <v>0.29315068493150687</v>
      </c>
      <c r="D114" s="1">
        <v>1.0147654826760866</v>
      </c>
      <c r="E114" s="1">
        <v>0.98544936448060105</v>
      </c>
    </row>
    <row r="115" spans="1:5" x14ac:dyDescent="0.3">
      <c r="A115">
        <v>1</v>
      </c>
      <c r="B115">
        <v>108</v>
      </c>
      <c r="C115">
        <v>0.29589041095890412</v>
      </c>
      <c r="D115" s="1">
        <v>1.0149045011679134</v>
      </c>
      <c r="E115" s="1">
        <v>0.98531438066265165</v>
      </c>
    </row>
    <row r="116" spans="1:5" x14ac:dyDescent="0.3">
      <c r="A116">
        <v>1</v>
      </c>
      <c r="B116">
        <v>109</v>
      </c>
      <c r="C116">
        <v>0.29863013698630136</v>
      </c>
      <c r="D116" s="1">
        <v>1.0150435387046735</v>
      </c>
      <c r="E116" s="1">
        <v>0.98517941533436981</v>
      </c>
    </row>
    <row r="117" spans="1:5" x14ac:dyDescent="0.3">
      <c r="A117">
        <v>1</v>
      </c>
      <c r="B117">
        <v>110</v>
      </c>
      <c r="C117">
        <v>0.30136986301369861</v>
      </c>
      <c r="D117" s="1">
        <v>1.0151825952889761</v>
      </c>
      <c r="E117" s="1">
        <v>0.98504446849322269</v>
      </c>
    </row>
    <row r="118" spans="1:5" x14ac:dyDescent="0.3">
      <c r="A118">
        <v>1</v>
      </c>
      <c r="B118">
        <v>111</v>
      </c>
      <c r="C118">
        <v>0.30410958904109592</v>
      </c>
      <c r="D118" s="1">
        <v>1.0153216709234307</v>
      </c>
      <c r="E118" s="1">
        <v>0.9849095401366782</v>
      </c>
    </row>
    <row r="119" spans="1:5" x14ac:dyDescent="0.3">
      <c r="A119">
        <v>1</v>
      </c>
      <c r="B119">
        <v>112</v>
      </c>
      <c r="C119">
        <v>0.30684931506849317</v>
      </c>
      <c r="D119" s="1">
        <v>1.0154607656106471</v>
      </c>
      <c r="E119" s="1">
        <v>0.98477463026220435</v>
      </c>
    </row>
    <row r="120" spans="1:5" x14ac:dyDescent="0.3">
      <c r="A120">
        <v>1</v>
      </c>
      <c r="B120">
        <v>113</v>
      </c>
      <c r="C120">
        <v>0.30958904109589042</v>
      </c>
      <c r="D120" s="1">
        <v>1.0155998793532353</v>
      </c>
      <c r="E120" s="1">
        <v>0.98463973886726941</v>
      </c>
    </row>
    <row r="121" spans="1:5" x14ac:dyDescent="0.3">
      <c r="A121">
        <v>1</v>
      </c>
      <c r="B121">
        <v>114</v>
      </c>
      <c r="C121">
        <v>0.31232876712328766</v>
      </c>
      <c r="D121" s="1">
        <v>1.0157390121538059</v>
      </c>
      <c r="E121" s="1">
        <v>0.98450486594934228</v>
      </c>
    </row>
    <row r="122" spans="1:5" x14ac:dyDescent="0.3">
      <c r="A122">
        <v>1</v>
      </c>
      <c r="B122">
        <v>115</v>
      </c>
      <c r="C122">
        <v>0.31506849315068491</v>
      </c>
      <c r="D122" s="1">
        <v>1.0158781640149697</v>
      </c>
      <c r="E122" s="1">
        <v>0.98437001150589176</v>
      </c>
    </row>
    <row r="123" spans="1:5" x14ac:dyDescent="0.3">
      <c r="A123">
        <v>1</v>
      </c>
      <c r="B123">
        <v>116</v>
      </c>
      <c r="C123">
        <v>0.31780821917808222</v>
      </c>
      <c r="D123" s="1">
        <v>1.016017334939338</v>
      </c>
      <c r="E123" s="1">
        <v>0.98423517553438755</v>
      </c>
    </row>
    <row r="124" spans="1:5" x14ac:dyDescent="0.3">
      <c r="A124">
        <v>1</v>
      </c>
      <c r="B124">
        <v>117</v>
      </c>
      <c r="C124">
        <v>0.32054794520547947</v>
      </c>
      <c r="D124" s="1">
        <v>1.0161565249295224</v>
      </c>
      <c r="E124" s="1">
        <v>0.98410035803229934</v>
      </c>
    </row>
    <row r="125" spans="1:5" x14ac:dyDescent="0.3">
      <c r="A125">
        <v>1</v>
      </c>
      <c r="B125">
        <v>118</v>
      </c>
      <c r="C125">
        <v>0.32328767123287672</v>
      </c>
      <c r="D125" s="1">
        <v>1.0162957339881347</v>
      </c>
      <c r="E125" s="1">
        <v>0.98396555899709714</v>
      </c>
    </row>
    <row r="126" spans="1:5" x14ac:dyDescent="0.3">
      <c r="A126">
        <v>1</v>
      </c>
      <c r="B126">
        <v>119</v>
      </c>
      <c r="C126">
        <v>0.32602739726027397</v>
      </c>
      <c r="D126" s="1">
        <v>1.0164349621177873</v>
      </c>
      <c r="E126" s="1">
        <v>0.98383077842625144</v>
      </c>
    </row>
    <row r="127" spans="1:5" x14ac:dyDescent="0.3">
      <c r="A127">
        <v>1</v>
      </c>
      <c r="B127">
        <v>120</v>
      </c>
      <c r="C127">
        <v>0.32876712328767121</v>
      </c>
      <c r="D127" s="1">
        <v>1.0165742093210925</v>
      </c>
      <c r="E127" s="1">
        <v>0.98369601631723325</v>
      </c>
    </row>
    <row r="128" spans="1:5" x14ac:dyDescent="0.3">
      <c r="A128">
        <v>1</v>
      </c>
      <c r="B128">
        <v>121</v>
      </c>
      <c r="C128">
        <v>0.33150684931506852</v>
      </c>
      <c r="D128" s="1">
        <v>1.0167134756006639</v>
      </c>
      <c r="E128" s="1">
        <v>0.98356127266751348</v>
      </c>
    </row>
    <row r="129" spans="1:5" x14ac:dyDescent="0.3">
      <c r="A129">
        <v>1</v>
      </c>
      <c r="B129">
        <v>122</v>
      </c>
      <c r="C129">
        <v>0.33424657534246577</v>
      </c>
      <c r="D129" s="1">
        <v>1.0168527609591147</v>
      </c>
      <c r="E129" s="1">
        <v>0.98342654747456371</v>
      </c>
    </row>
    <row r="130" spans="1:5" x14ac:dyDescent="0.3">
      <c r="A130">
        <v>1</v>
      </c>
      <c r="B130">
        <v>123</v>
      </c>
      <c r="C130">
        <v>0.33698630136986302</v>
      </c>
      <c r="D130" s="1">
        <v>1.0169920653990583</v>
      </c>
      <c r="E130" s="1">
        <v>0.98329184073585585</v>
      </c>
    </row>
    <row r="131" spans="1:5" x14ac:dyDescent="0.3">
      <c r="A131">
        <v>1</v>
      </c>
      <c r="B131">
        <v>124</v>
      </c>
      <c r="C131">
        <v>0.33972602739726027</v>
      </c>
      <c r="D131" s="1">
        <v>1.0171313889231091</v>
      </c>
      <c r="E131" s="1">
        <v>0.98315715244886204</v>
      </c>
    </row>
    <row r="132" spans="1:5" x14ac:dyDescent="0.3">
      <c r="A132">
        <v>1</v>
      </c>
      <c r="B132">
        <v>125</v>
      </c>
      <c r="C132">
        <v>0.34246575342465752</v>
      </c>
      <c r="D132" s="1">
        <v>1.0172707315338814</v>
      </c>
      <c r="E132" s="1">
        <v>0.98302248261105485</v>
      </c>
    </row>
    <row r="133" spans="1:5" x14ac:dyDescent="0.3">
      <c r="A133">
        <v>1</v>
      </c>
      <c r="B133">
        <v>126</v>
      </c>
      <c r="C133">
        <v>0.34520547945205482</v>
      </c>
      <c r="D133" s="1">
        <v>1.01741009323399</v>
      </c>
      <c r="E133" s="1">
        <v>0.98288783121990708</v>
      </c>
    </row>
    <row r="134" spans="1:5" x14ac:dyDescent="0.3">
      <c r="A134">
        <v>1</v>
      </c>
      <c r="B134">
        <v>127</v>
      </c>
      <c r="C134">
        <v>0.34794520547945207</v>
      </c>
      <c r="D134" s="1">
        <v>1.0175494740260502</v>
      </c>
      <c r="E134" s="1">
        <v>0.98275319827289209</v>
      </c>
    </row>
    <row r="135" spans="1:5" x14ac:dyDescent="0.3">
      <c r="A135">
        <v>1</v>
      </c>
      <c r="B135">
        <v>128</v>
      </c>
      <c r="C135">
        <v>0.35068493150684932</v>
      </c>
      <c r="D135" s="1">
        <v>1.0176888739126773</v>
      </c>
      <c r="E135" s="1">
        <v>0.98261858376748346</v>
      </c>
    </row>
    <row r="136" spans="1:5" x14ac:dyDescent="0.3">
      <c r="A136">
        <v>1</v>
      </c>
      <c r="B136">
        <v>129</v>
      </c>
      <c r="C136">
        <v>0.35342465753424657</v>
      </c>
      <c r="D136" s="1">
        <v>1.0178282928964872</v>
      </c>
      <c r="E136" s="1">
        <v>0.98248398770115497</v>
      </c>
    </row>
    <row r="137" spans="1:5" x14ac:dyDescent="0.3">
      <c r="A137">
        <v>1</v>
      </c>
      <c r="B137">
        <v>130</v>
      </c>
      <c r="C137">
        <v>0.35616438356164382</v>
      </c>
      <c r="D137" s="1">
        <v>1.0179677309800965</v>
      </c>
      <c r="E137" s="1">
        <v>0.98234941007138099</v>
      </c>
    </row>
    <row r="138" spans="1:5" x14ac:dyDescent="0.3">
      <c r="A138">
        <v>1</v>
      </c>
      <c r="B138">
        <v>131</v>
      </c>
      <c r="C138">
        <v>0.35890410958904112</v>
      </c>
      <c r="D138" s="1">
        <v>1.0181071881661212</v>
      </c>
      <c r="E138" s="1">
        <v>0.98221485087563609</v>
      </c>
    </row>
    <row r="139" spans="1:5" x14ac:dyDescent="0.3">
      <c r="A139">
        <v>1</v>
      </c>
      <c r="B139">
        <v>132</v>
      </c>
      <c r="C139">
        <v>0.36164383561643837</v>
      </c>
      <c r="D139" s="1">
        <v>1.0182466644571788</v>
      </c>
      <c r="E139" s="1">
        <v>0.9820803101113954</v>
      </c>
    </row>
    <row r="140" spans="1:5" x14ac:dyDescent="0.3">
      <c r="A140">
        <v>1</v>
      </c>
      <c r="B140">
        <v>133</v>
      </c>
      <c r="C140">
        <v>0.36438356164383562</v>
      </c>
      <c r="D140" s="1">
        <v>1.0183861598558861</v>
      </c>
      <c r="E140" s="1">
        <v>0.98194578777613395</v>
      </c>
    </row>
    <row r="141" spans="1:5" x14ac:dyDescent="0.3">
      <c r="A141">
        <v>1</v>
      </c>
      <c r="B141">
        <v>134</v>
      </c>
      <c r="C141">
        <v>0.36712328767123287</v>
      </c>
      <c r="D141" s="1">
        <v>1.0185256743648612</v>
      </c>
      <c r="E141" s="1">
        <v>0.98181128386732763</v>
      </c>
    </row>
    <row r="142" spans="1:5" x14ac:dyDescent="0.3">
      <c r="A142">
        <v>1</v>
      </c>
      <c r="B142">
        <v>135</v>
      </c>
      <c r="C142">
        <v>0.36986301369863012</v>
      </c>
      <c r="D142" s="1">
        <v>1.0186652079867218</v>
      </c>
      <c r="E142" s="1">
        <v>0.98167679838245236</v>
      </c>
    </row>
    <row r="143" spans="1:5" x14ac:dyDescent="0.3">
      <c r="A143">
        <v>1</v>
      </c>
      <c r="B143">
        <v>136</v>
      </c>
      <c r="C143">
        <v>0.37260273972602742</v>
      </c>
      <c r="D143" s="1">
        <v>1.0188047607240867</v>
      </c>
      <c r="E143" s="1">
        <v>0.98154233131898438</v>
      </c>
    </row>
    <row r="144" spans="1:5" x14ac:dyDescent="0.3">
      <c r="A144">
        <v>1</v>
      </c>
      <c r="B144">
        <v>137</v>
      </c>
      <c r="C144">
        <v>0.37534246575342467</v>
      </c>
      <c r="D144" s="1">
        <v>1.018944332579574</v>
      </c>
      <c r="E144" s="1">
        <v>0.9814078826744006</v>
      </c>
    </row>
    <row r="145" spans="1:5" x14ac:dyDescent="0.3">
      <c r="A145">
        <v>1</v>
      </c>
      <c r="B145">
        <v>138</v>
      </c>
      <c r="C145">
        <v>0.37808219178082192</v>
      </c>
      <c r="D145" s="1">
        <v>1.0190839235558034</v>
      </c>
      <c r="E145" s="1">
        <v>0.98127345244617792</v>
      </c>
    </row>
    <row r="146" spans="1:5" x14ac:dyDescent="0.3">
      <c r="A146">
        <v>1</v>
      </c>
      <c r="B146">
        <v>139</v>
      </c>
      <c r="C146">
        <v>0.38082191780821917</v>
      </c>
      <c r="D146" s="1">
        <v>1.0192235336553941</v>
      </c>
      <c r="E146" s="1">
        <v>0.98113904063179369</v>
      </c>
    </row>
    <row r="147" spans="1:5" x14ac:dyDescent="0.3">
      <c r="A147">
        <v>1</v>
      </c>
      <c r="B147">
        <v>140</v>
      </c>
      <c r="C147">
        <v>0.38356164383561642</v>
      </c>
      <c r="D147" s="1">
        <v>1.0193631628809658</v>
      </c>
      <c r="E147" s="1">
        <v>0.98100464722872571</v>
      </c>
    </row>
    <row r="148" spans="1:5" x14ac:dyDescent="0.3">
      <c r="A148">
        <v>1</v>
      </c>
      <c r="B148">
        <v>141</v>
      </c>
      <c r="C148">
        <v>0.38630136986301372</v>
      </c>
      <c r="D148" s="1">
        <v>1.019502811235139</v>
      </c>
      <c r="E148" s="1">
        <v>0.98087027223445211</v>
      </c>
    </row>
    <row r="149" spans="1:5" x14ac:dyDescent="0.3">
      <c r="A149">
        <v>1</v>
      </c>
      <c r="B149">
        <v>142</v>
      </c>
      <c r="C149">
        <v>0.38904109589041097</v>
      </c>
      <c r="D149" s="1">
        <v>1.019642478720534</v>
      </c>
      <c r="E149" s="1">
        <v>0.98073591564645124</v>
      </c>
    </row>
    <row r="150" spans="1:5" x14ac:dyDescent="0.3">
      <c r="A150">
        <v>1</v>
      </c>
      <c r="B150">
        <v>143</v>
      </c>
      <c r="C150">
        <v>0.39178082191780822</v>
      </c>
      <c r="D150" s="1">
        <v>1.0197821653397716</v>
      </c>
      <c r="E150" s="1">
        <v>0.98060157746220178</v>
      </c>
    </row>
    <row r="151" spans="1:5" x14ac:dyDescent="0.3">
      <c r="A151">
        <v>1</v>
      </c>
      <c r="B151">
        <v>144</v>
      </c>
      <c r="C151">
        <v>0.39452054794520547</v>
      </c>
      <c r="D151" s="1">
        <v>1.0199218710954734</v>
      </c>
      <c r="E151" s="1">
        <v>0.98046725767918297</v>
      </c>
    </row>
    <row r="152" spans="1:5" x14ac:dyDescent="0.3">
      <c r="A152">
        <v>1</v>
      </c>
      <c r="B152">
        <v>145</v>
      </c>
      <c r="C152">
        <v>0.39726027397260272</v>
      </c>
      <c r="D152" s="1">
        <v>1.0200615959902608</v>
      </c>
      <c r="E152" s="1">
        <v>0.98033295629487416</v>
      </c>
    </row>
    <row r="153" spans="1:5" x14ac:dyDescent="0.3">
      <c r="A153">
        <v>1</v>
      </c>
      <c r="B153">
        <v>146</v>
      </c>
      <c r="C153">
        <v>0.4</v>
      </c>
      <c r="D153" s="1">
        <v>1.0202013400267558</v>
      </c>
      <c r="E153" s="1">
        <v>0.98019867330675525</v>
      </c>
    </row>
    <row r="154" spans="1:5" x14ac:dyDescent="0.3">
      <c r="A154">
        <v>1</v>
      </c>
      <c r="B154">
        <v>147</v>
      </c>
      <c r="C154">
        <v>0.40273972602739727</v>
      </c>
      <c r="D154" s="1">
        <v>1.0203411032075806</v>
      </c>
      <c r="E154" s="1">
        <v>0.98006440871230638</v>
      </c>
    </row>
    <row r="155" spans="1:5" x14ac:dyDescent="0.3">
      <c r="A155">
        <v>1</v>
      </c>
      <c r="B155">
        <v>148</v>
      </c>
      <c r="C155">
        <v>0.40547945205479452</v>
      </c>
      <c r="D155" s="1">
        <v>1.0204808855353582</v>
      </c>
      <c r="E155" s="1">
        <v>0.979930162509008</v>
      </c>
    </row>
    <row r="156" spans="1:5" x14ac:dyDescent="0.3">
      <c r="A156">
        <v>1</v>
      </c>
      <c r="B156">
        <v>149</v>
      </c>
      <c r="C156">
        <v>0.40821917808219177</v>
      </c>
      <c r="D156" s="1">
        <v>1.0206206870127115</v>
      </c>
      <c r="E156" s="1">
        <v>0.97979593469434101</v>
      </c>
    </row>
    <row r="157" spans="1:5" x14ac:dyDescent="0.3">
      <c r="A157">
        <v>1</v>
      </c>
      <c r="B157">
        <v>150</v>
      </c>
      <c r="C157">
        <v>0.41095890410958902</v>
      </c>
      <c r="D157" s="1">
        <v>1.0207605076422637</v>
      </c>
      <c r="E157" s="1">
        <v>0.97966172526578643</v>
      </c>
    </row>
    <row r="158" spans="1:5" x14ac:dyDescent="0.3">
      <c r="A158">
        <v>1</v>
      </c>
      <c r="B158">
        <v>151</v>
      </c>
      <c r="C158">
        <v>0.41369863013698632</v>
      </c>
      <c r="D158" s="1">
        <v>1.0209003474266387</v>
      </c>
      <c r="E158" s="1">
        <v>0.97952753422082606</v>
      </c>
    </row>
    <row r="159" spans="1:5" x14ac:dyDescent="0.3">
      <c r="A159">
        <v>1</v>
      </c>
      <c r="B159">
        <v>152</v>
      </c>
      <c r="C159">
        <v>0.41643835616438357</v>
      </c>
      <c r="D159" s="1">
        <v>1.0210402063684607</v>
      </c>
      <c r="E159" s="1">
        <v>0.97939336155694146</v>
      </c>
    </row>
    <row r="160" spans="1:5" x14ac:dyDescent="0.3">
      <c r="A160">
        <v>1</v>
      </c>
      <c r="B160">
        <v>153</v>
      </c>
      <c r="C160">
        <v>0.41917808219178082</v>
      </c>
      <c r="D160" s="1">
        <v>1.0211800844703542</v>
      </c>
      <c r="E160" s="1">
        <v>0.97925920727161508</v>
      </c>
    </row>
    <row r="161" spans="1:5" x14ac:dyDescent="0.3">
      <c r="A161">
        <v>1</v>
      </c>
      <c r="B161">
        <v>154</v>
      </c>
      <c r="C161">
        <v>0.42191780821917807</v>
      </c>
      <c r="D161" s="1">
        <v>1.0213199817349441</v>
      </c>
      <c r="E161" s="1">
        <v>0.97912507136232929</v>
      </c>
    </row>
    <row r="162" spans="1:5" x14ac:dyDescent="0.3">
      <c r="A162">
        <v>1</v>
      </c>
      <c r="B162">
        <v>155</v>
      </c>
      <c r="C162">
        <v>0.42465753424657532</v>
      </c>
      <c r="D162" s="1">
        <v>1.0214598981648555</v>
      </c>
      <c r="E162" s="1">
        <v>0.9789909538265672</v>
      </c>
    </row>
    <row r="163" spans="1:5" x14ac:dyDescent="0.3">
      <c r="A163">
        <v>1</v>
      </c>
      <c r="B163">
        <v>156</v>
      </c>
      <c r="C163">
        <v>0.42739726027397262</v>
      </c>
      <c r="D163" s="1">
        <v>1.0215998337627139</v>
      </c>
      <c r="E163" s="1">
        <v>0.97885685466181194</v>
      </c>
    </row>
    <row r="164" spans="1:5" x14ac:dyDescent="0.3">
      <c r="A164">
        <v>1</v>
      </c>
      <c r="B164">
        <v>157</v>
      </c>
      <c r="C164">
        <v>0.43013698630136987</v>
      </c>
      <c r="D164" s="1">
        <v>1.0217397885311452</v>
      </c>
      <c r="E164" s="1">
        <v>0.97872277386554718</v>
      </c>
    </row>
    <row r="165" spans="1:5" x14ac:dyDescent="0.3">
      <c r="A165">
        <v>1</v>
      </c>
      <c r="B165">
        <v>158</v>
      </c>
      <c r="C165">
        <v>0.43287671232876712</v>
      </c>
      <c r="D165" s="1">
        <v>1.021879762472776</v>
      </c>
      <c r="E165" s="1">
        <v>0.97858871143525672</v>
      </c>
    </row>
    <row r="166" spans="1:5" x14ac:dyDescent="0.3">
      <c r="A166">
        <v>1</v>
      </c>
      <c r="B166">
        <v>159</v>
      </c>
      <c r="C166">
        <v>0.43561643835616437</v>
      </c>
      <c r="D166" s="1">
        <v>1.0220197555902326</v>
      </c>
      <c r="E166" s="1">
        <v>0.97845466736842501</v>
      </c>
    </row>
    <row r="167" spans="1:5" x14ac:dyDescent="0.3">
      <c r="A167">
        <v>1</v>
      </c>
      <c r="B167">
        <v>160</v>
      </c>
      <c r="C167">
        <v>0.43835616438356162</v>
      </c>
      <c r="D167" s="1">
        <v>1.022159767886142</v>
      </c>
      <c r="E167" s="1">
        <v>0.97832064166253663</v>
      </c>
    </row>
    <row r="168" spans="1:5" x14ac:dyDescent="0.3">
      <c r="A168">
        <v>1</v>
      </c>
      <c r="B168">
        <v>161</v>
      </c>
      <c r="C168">
        <v>0.44109589041095892</v>
      </c>
      <c r="D168" s="1">
        <v>1.022299799363132</v>
      </c>
      <c r="E168" s="1">
        <v>0.97818663431507646</v>
      </c>
    </row>
    <row r="169" spans="1:5" x14ac:dyDescent="0.3">
      <c r="A169">
        <v>1</v>
      </c>
      <c r="B169">
        <v>162</v>
      </c>
      <c r="C169">
        <v>0.44383561643835617</v>
      </c>
      <c r="D169" s="1">
        <v>1.0224398500238299</v>
      </c>
      <c r="E169" s="1">
        <v>0.97805264532352987</v>
      </c>
    </row>
    <row r="170" spans="1:5" x14ac:dyDescent="0.3">
      <c r="A170">
        <v>1</v>
      </c>
      <c r="B170">
        <v>163</v>
      </c>
      <c r="C170">
        <v>0.44657534246575342</v>
      </c>
      <c r="D170" s="1">
        <v>1.0225799198708638</v>
      </c>
      <c r="E170" s="1">
        <v>0.97791867468538263</v>
      </c>
    </row>
    <row r="171" spans="1:5" x14ac:dyDescent="0.3">
      <c r="A171">
        <v>1</v>
      </c>
      <c r="B171">
        <v>164</v>
      </c>
      <c r="C171">
        <v>0.44931506849315067</v>
      </c>
      <c r="D171" s="1">
        <v>1.0227200089068624</v>
      </c>
      <c r="E171" s="1">
        <v>0.97778472239812064</v>
      </c>
    </row>
    <row r="172" spans="1:5" x14ac:dyDescent="0.3">
      <c r="A172">
        <v>1</v>
      </c>
      <c r="B172">
        <v>165</v>
      </c>
      <c r="C172">
        <v>0.45205479452054792</v>
      </c>
      <c r="D172" s="1">
        <v>1.0228601171344545</v>
      </c>
      <c r="E172" s="1">
        <v>0.97765078845923026</v>
      </c>
    </row>
    <row r="173" spans="1:5" x14ac:dyDescent="0.3">
      <c r="A173">
        <v>1</v>
      </c>
      <c r="B173">
        <v>166</v>
      </c>
      <c r="C173">
        <v>0.45479452054794522</v>
      </c>
      <c r="D173" s="1">
        <v>1.0230002445562689</v>
      </c>
      <c r="E173" s="1">
        <v>0.97751687286619815</v>
      </c>
    </row>
    <row r="174" spans="1:5" x14ac:dyDescent="0.3">
      <c r="A174">
        <v>1</v>
      </c>
      <c r="B174">
        <v>167</v>
      </c>
      <c r="C174">
        <v>0.45753424657534247</v>
      </c>
      <c r="D174" s="1">
        <v>1.0231403911749355</v>
      </c>
      <c r="E174" s="1">
        <v>0.97738297561651144</v>
      </c>
    </row>
    <row r="175" spans="1:5" x14ac:dyDescent="0.3">
      <c r="A175">
        <v>1</v>
      </c>
      <c r="B175">
        <v>168</v>
      </c>
      <c r="C175">
        <v>0.46027397260273972</v>
      </c>
      <c r="D175" s="1">
        <v>1.0232805569930841</v>
      </c>
      <c r="E175" s="1">
        <v>0.97724909670765758</v>
      </c>
    </row>
    <row r="176" spans="1:5" x14ac:dyDescent="0.3">
      <c r="A176">
        <v>1</v>
      </c>
      <c r="B176">
        <v>169</v>
      </c>
      <c r="C176">
        <v>0.46301369863013697</v>
      </c>
      <c r="D176" s="1">
        <v>1.0234207420133445</v>
      </c>
      <c r="E176" s="1">
        <v>0.97711523613712403</v>
      </c>
    </row>
    <row r="177" spans="1:5" x14ac:dyDescent="0.3">
      <c r="A177">
        <v>1</v>
      </c>
      <c r="B177">
        <v>170</v>
      </c>
      <c r="C177">
        <v>0.46575342465753422</v>
      </c>
      <c r="D177" s="1">
        <v>1.0235609462383481</v>
      </c>
      <c r="E177" s="1">
        <v>0.97698139390239913</v>
      </c>
    </row>
    <row r="178" spans="1:5" x14ac:dyDescent="0.3">
      <c r="A178">
        <v>1</v>
      </c>
      <c r="B178">
        <v>171</v>
      </c>
      <c r="C178">
        <v>0.46849315068493153</v>
      </c>
      <c r="D178" s="1">
        <v>1.0237011696707254</v>
      </c>
      <c r="E178" s="1">
        <v>0.97684757000097122</v>
      </c>
    </row>
    <row r="179" spans="1:5" x14ac:dyDescent="0.3">
      <c r="A179">
        <v>1</v>
      </c>
      <c r="B179">
        <v>172</v>
      </c>
      <c r="C179">
        <v>0.47123287671232877</v>
      </c>
      <c r="D179" s="1">
        <v>1.0238414123131077</v>
      </c>
      <c r="E179" s="1">
        <v>0.97671376443032898</v>
      </c>
    </row>
    <row r="180" spans="1:5" x14ac:dyDescent="0.3">
      <c r="A180">
        <v>1</v>
      </c>
      <c r="B180">
        <v>173</v>
      </c>
      <c r="C180">
        <v>0.47397260273972602</v>
      </c>
      <c r="D180" s="1">
        <v>1.0239816741681267</v>
      </c>
      <c r="E180" s="1">
        <v>0.97657997718796163</v>
      </c>
    </row>
    <row r="181" spans="1:5" x14ac:dyDescent="0.3">
      <c r="A181">
        <v>1</v>
      </c>
      <c r="B181">
        <v>174</v>
      </c>
      <c r="C181">
        <v>0.47671232876712327</v>
      </c>
      <c r="D181" s="1">
        <v>1.0241219552384146</v>
      </c>
      <c r="E181" s="1">
        <v>0.97644620827135853</v>
      </c>
    </row>
    <row r="182" spans="1:5" x14ac:dyDescent="0.3">
      <c r="A182">
        <v>1</v>
      </c>
      <c r="B182">
        <v>175</v>
      </c>
      <c r="C182">
        <v>0.47945205479452052</v>
      </c>
      <c r="D182" s="1">
        <v>1.0242622555266039</v>
      </c>
      <c r="E182" s="1">
        <v>0.97631245767800945</v>
      </c>
    </row>
    <row r="183" spans="1:5" x14ac:dyDescent="0.3">
      <c r="A183">
        <v>1</v>
      </c>
      <c r="B183">
        <v>176</v>
      </c>
      <c r="C183">
        <v>0.48219178082191783</v>
      </c>
      <c r="D183" s="1">
        <v>1.0244025750353269</v>
      </c>
      <c r="E183" s="1">
        <v>0.97617872540540473</v>
      </c>
    </row>
    <row r="184" spans="1:5" x14ac:dyDescent="0.3">
      <c r="A184">
        <v>1</v>
      </c>
      <c r="B184">
        <v>177</v>
      </c>
      <c r="C184">
        <v>0.48493150684931507</v>
      </c>
      <c r="D184" s="1">
        <v>1.0245429137672173</v>
      </c>
      <c r="E184" s="1">
        <v>0.97604501145103462</v>
      </c>
    </row>
    <row r="185" spans="1:5" x14ac:dyDescent="0.3">
      <c r="A185">
        <v>1</v>
      </c>
      <c r="B185">
        <v>178</v>
      </c>
      <c r="C185">
        <v>0.48767123287671232</v>
      </c>
      <c r="D185" s="1">
        <v>1.0246832717249084</v>
      </c>
      <c r="E185" s="1">
        <v>0.97591131581238999</v>
      </c>
    </row>
    <row r="186" spans="1:5" x14ac:dyDescent="0.3">
      <c r="A186">
        <v>1</v>
      </c>
      <c r="B186">
        <v>179</v>
      </c>
      <c r="C186">
        <v>0.49041095890410957</v>
      </c>
      <c r="D186" s="1">
        <v>1.0248236489110336</v>
      </c>
      <c r="E186" s="1">
        <v>0.97577763848696208</v>
      </c>
    </row>
    <row r="187" spans="1:5" x14ac:dyDescent="0.3">
      <c r="A187">
        <v>1</v>
      </c>
      <c r="B187">
        <v>180</v>
      </c>
      <c r="C187">
        <v>0.49315068493150682</v>
      </c>
      <c r="D187" s="1">
        <v>1.0249640453282278</v>
      </c>
      <c r="E187" s="1">
        <v>0.97564397947224235</v>
      </c>
    </row>
    <row r="188" spans="1:5" x14ac:dyDescent="0.3">
      <c r="A188">
        <v>1</v>
      </c>
      <c r="B188">
        <v>181</v>
      </c>
      <c r="C188">
        <v>0.49589041095890413</v>
      </c>
      <c r="D188" s="1">
        <v>1.0251044609791251</v>
      </c>
      <c r="E188" s="1">
        <v>0.9755103387657228</v>
      </c>
    </row>
    <row r="189" spans="1:5" x14ac:dyDescent="0.3">
      <c r="A189">
        <v>1</v>
      </c>
      <c r="B189">
        <v>182</v>
      </c>
      <c r="C189">
        <v>0.49863013698630138</v>
      </c>
      <c r="D189" s="1">
        <v>1.0252448958663607</v>
      </c>
      <c r="E189" s="1">
        <v>0.97537671636489531</v>
      </c>
    </row>
    <row r="190" spans="1:5" x14ac:dyDescent="0.3">
      <c r="A190">
        <v>1</v>
      </c>
      <c r="B190">
        <v>183</v>
      </c>
      <c r="C190">
        <v>0.50136986301369868</v>
      </c>
      <c r="D190" s="1">
        <v>1.0253853499925698</v>
      </c>
      <c r="E190" s="1">
        <v>0.9752431122672528</v>
      </c>
    </row>
    <row r="191" spans="1:5" x14ac:dyDescent="0.3">
      <c r="A191">
        <v>1</v>
      </c>
      <c r="B191">
        <v>184</v>
      </c>
      <c r="C191">
        <v>0.50410958904109593</v>
      </c>
      <c r="D191" s="1">
        <v>1.0255258233603879</v>
      </c>
      <c r="E191" s="1">
        <v>0.97510952647028781</v>
      </c>
    </row>
    <row r="192" spans="1:5" x14ac:dyDescent="0.3">
      <c r="A192">
        <v>1</v>
      </c>
      <c r="B192">
        <v>185</v>
      </c>
      <c r="C192">
        <v>0.50684931506849318</v>
      </c>
      <c r="D192" s="1">
        <v>1.0256663159724513</v>
      </c>
      <c r="E192" s="1">
        <v>0.97497595897149392</v>
      </c>
    </row>
    <row r="193" spans="1:5" x14ac:dyDescent="0.3">
      <c r="A193">
        <v>1</v>
      </c>
      <c r="B193">
        <v>186</v>
      </c>
      <c r="C193">
        <v>0.50958904109589043</v>
      </c>
      <c r="D193" s="1">
        <v>1.0258068278313963</v>
      </c>
      <c r="E193" s="1">
        <v>0.97484240976836434</v>
      </c>
    </row>
    <row r="194" spans="1:5" x14ac:dyDescent="0.3">
      <c r="A194">
        <v>1</v>
      </c>
      <c r="B194">
        <v>187</v>
      </c>
      <c r="C194">
        <v>0.51232876712328768</v>
      </c>
      <c r="D194" s="1">
        <v>1.0259473589398596</v>
      </c>
      <c r="E194" s="1">
        <v>0.9747088788583933</v>
      </c>
    </row>
    <row r="195" spans="1:5" x14ac:dyDescent="0.3">
      <c r="A195">
        <v>1</v>
      </c>
      <c r="B195">
        <v>188</v>
      </c>
      <c r="C195">
        <v>0.51506849315068493</v>
      </c>
      <c r="D195" s="1">
        <v>1.026087909300478</v>
      </c>
      <c r="E195" s="1">
        <v>0.97457536623907481</v>
      </c>
    </row>
    <row r="196" spans="1:5" x14ac:dyDescent="0.3">
      <c r="A196">
        <v>1</v>
      </c>
      <c r="B196">
        <v>189</v>
      </c>
      <c r="C196">
        <v>0.51780821917808217</v>
      </c>
      <c r="D196" s="1">
        <v>1.0262284789158895</v>
      </c>
      <c r="E196" s="1">
        <v>0.97444187190790366</v>
      </c>
    </row>
    <row r="197" spans="1:5" x14ac:dyDescent="0.3">
      <c r="A197">
        <v>1</v>
      </c>
      <c r="B197">
        <v>190</v>
      </c>
      <c r="C197">
        <v>0.52054794520547942</v>
      </c>
      <c r="D197" s="1">
        <v>1.0263690677887316</v>
      </c>
      <c r="E197" s="1">
        <v>0.97430839586237472</v>
      </c>
    </row>
    <row r="198" spans="1:5" x14ac:dyDescent="0.3">
      <c r="A198">
        <v>1</v>
      </c>
      <c r="B198">
        <v>191</v>
      </c>
      <c r="C198">
        <v>0.52328767123287667</v>
      </c>
      <c r="D198" s="1">
        <v>1.0265096759216426</v>
      </c>
      <c r="E198" s="1">
        <v>0.97417493809998323</v>
      </c>
    </row>
    <row r="199" spans="1:5" x14ac:dyDescent="0.3">
      <c r="A199">
        <v>1</v>
      </c>
      <c r="B199">
        <v>192</v>
      </c>
      <c r="C199">
        <v>0.52602739726027392</v>
      </c>
      <c r="D199" s="1">
        <v>1.0266503033172609</v>
      </c>
      <c r="E199" s="1">
        <v>0.97404149861822487</v>
      </c>
    </row>
    <row r="200" spans="1:5" x14ac:dyDescent="0.3">
      <c r="A200">
        <v>1</v>
      </c>
      <c r="B200">
        <v>193</v>
      </c>
      <c r="C200">
        <v>0.52876712328767128</v>
      </c>
      <c r="D200" s="1">
        <v>1.0267909499782257</v>
      </c>
      <c r="E200" s="1">
        <v>0.97390807741459562</v>
      </c>
    </row>
    <row r="201" spans="1:5" x14ac:dyDescent="0.3">
      <c r="A201">
        <v>1</v>
      </c>
      <c r="B201">
        <v>194</v>
      </c>
      <c r="C201">
        <v>0.53150684931506853</v>
      </c>
      <c r="D201" s="1">
        <v>1.026931615907176</v>
      </c>
      <c r="E201" s="1">
        <v>0.97377467448659183</v>
      </c>
    </row>
    <row r="202" spans="1:5" x14ac:dyDescent="0.3">
      <c r="A202">
        <v>1</v>
      </c>
      <c r="B202">
        <v>195</v>
      </c>
      <c r="C202">
        <v>0.53424657534246578</v>
      </c>
      <c r="D202" s="1">
        <v>1.0270723011067513</v>
      </c>
      <c r="E202" s="1">
        <v>0.97364128983171017</v>
      </c>
    </row>
    <row r="203" spans="1:5" x14ac:dyDescent="0.3">
      <c r="A203">
        <v>1</v>
      </c>
      <c r="B203">
        <v>196</v>
      </c>
      <c r="C203">
        <v>0.53698630136986303</v>
      </c>
      <c r="D203" s="1">
        <v>1.0272130055795921</v>
      </c>
      <c r="E203" s="1">
        <v>0.97350792344744752</v>
      </c>
    </row>
    <row r="204" spans="1:5" x14ac:dyDescent="0.3">
      <c r="A204">
        <v>1</v>
      </c>
      <c r="B204">
        <v>197</v>
      </c>
      <c r="C204">
        <v>0.53972602739726028</v>
      </c>
      <c r="D204" s="1">
        <v>1.0273537293283383</v>
      </c>
      <c r="E204" s="1">
        <v>0.97337457533130134</v>
      </c>
    </row>
    <row r="205" spans="1:5" x14ac:dyDescent="0.3">
      <c r="A205">
        <v>1</v>
      </c>
      <c r="B205">
        <v>198</v>
      </c>
      <c r="C205">
        <v>0.54246575342465753</v>
      </c>
      <c r="D205" s="1">
        <v>1.0274944723556307</v>
      </c>
      <c r="E205" s="1">
        <v>0.97324124548076929</v>
      </c>
    </row>
    <row r="206" spans="1:5" x14ac:dyDescent="0.3">
      <c r="A206">
        <v>1</v>
      </c>
      <c r="B206">
        <v>199</v>
      </c>
      <c r="C206">
        <v>0.54520547945205478</v>
      </c>
      <c r="D206" s="1">
        <v>1.0276352346641107</v>
      </c>
      <c r="E206" s="1">
        <v>0.97310793389334937</v>
      </c>
    </row>
    <row r="207" spans="1:5" x14ac:dyDescent="0.3">
      <c r="A207">
        <v>1</v>
      </c>
      <c r="B207">
        <v>200</v>
      </c>
      <c r="C207">
        <v>0.54794520547945202</v>
      </c>
      <c r="D207" s="1">
        <v>1.0277760162564193</v>
      </c>
      <c r="E207" s="1">
        <v>0.97297464056654004</v>
      </c>
    </row>
    <row r="208" spans="1:5" x14ac:dyDescent="0.3">
      <c r="A208">
        <v>1</v>
      </c>
      <c r="B208">
        <v>201</v>
      </c>
      <c r="C208">
        <v>0.55068493150684927</v>
      </c>
      <c r="D208" s="1">
        <v>1.0279168171351987</v>
      </c>
      <c r="E208" s="1">
        <v>0.97284136549783995</v>
      </c>
    </row>
    <row r="209" spans="1:5" x14ac:dyDescent="0.3">
      <c r="A209">
        <v>1</v>
      </c>
      <c r="B209">
        <v>202</v>
      </c>
      <c r="C209">
        <v>0.55342465753424652</v>
      </c>
      <c r="D209" s="1">
        <v>1.0280576373030905</v>
      </c>
      <c r="E209" s="1">
        <v>0.97270810868474811</v>
      </c>
    </row>
    <row r="210" spans="1:5" x14ac:dyDescent="0.3">
      <c r="A210">
        <v>1</v>
      </c>
      <c r="B210">
        <v>203</v>
      </c>
      <c r="C210">
        <v>0.55616438356164388</v>
      </c>
      <c r="D210" s="1">
        <v>1.0281984767627379</v>
      </c>
      <c r="E210" s="1">
        <v>0.97257487012476407</v>
      </c>
    </row>
    <row r="211" spans="1:5" x14ac:dyDescent="0.3">
      <c r="A211">
        <v>1</v>
      </c>
      <c r="B211">
        <v>204</v>
      </c>
      <c r="C211">
        <v>0.55890410958904113</v>
      </c>
      <c r="D211" s="1">
        <v>1.0283393355167834</v>
      </c>
      <c r="E211" s="1">
        <v>0.97244164981538739</v>
      </c>
    </row>
    <row r="212" spans="1:5" x14ac:dyDescent="0.3">
      <c r="A212">
        <v>1</v>
      </c>
      <c r="B212">
        <v>205</v>
      </c>
      <c r="C212">
        <v>0.56164383561643838</v>
      </c>
      <c r="D212" s="1">
        <v>1.0284802135678701</v>
      </c>
      <c r="E212" s="1">
        <v>0.9723084477541184</v>
      </c>
    </row>
    <row r="213" spans="1:5" x14ac:dyDescent="0.3">
      <c r="A213">
        <v>1</v>
      </c>
      <c r="B213">
        <v>206</v>
      </c>
      <c r="C213">
        <v>0.56438356164383563</v>
      </c>
      <c r="D213" s="1">
        <v>1.0286211109186421</v>
      </c>
      <c r="E213" s="1">
        <v>0.97217526393845732</v>
      </c>
    </row>
    <row r="214" spans="1:5" x14ac:dyDescent="0.3">
      <c r="A214">
        <v>1</v>
      </c>
      <c r="B214">
        <v>207</v>
      </c>
      <c r="C214">
        <v>0.56712328767123288</v>
      </c>
      <c r="D214" s="1">
        <v>1.0287620275717431</v>
      </c>
      <c r="E214" s="1">
        <v>0.97204209836590494</v>
      </c>
    </row>
    <row r="215" spans="1:5" x14ac:dyDescent="0.3">
      <c r="A215">
        <v>1</v>
      </c>
      <c r="B215">
        <v>208</v>
      </c>
      <c r="C215">
        <v>0.56986301369863013</v>
      </c>
      <c r="D215" s="1">
        <v>1.0289029635298172</v>
      </c>
      <c r="E215" s="1">
        <v>0.97190895103396246</v>
      </c>
    </row>
    <row r="216" spans="1:5" x14ac:dyDescent="0.3">
      <c r="A216">
        <v>1</v>
      </c>
      <c r="B216">
        <v>209</v>
      </c>
      <c r="C216">
        <v>0.57260273972602738</v>
      </c>
      <c r="D216" s="1">
        <v>1.0290439187955094</v>
      </c>
      <c r="E216" s="1">
        <v>0.97177582194013135</v>
      </c>
    </row>
    <row r="217" spans="1:5" x14ac:dyDescent="0.3">
      <c r="A217">
        <v>1</v>
      </c>
      <c r="B217">
        <v>210</v>
      </c>
      <c r="C217">
        <v>0.57534246575342463</v>
      </c>
      <c r="D217" s="1">
        <v>1.0291848933714649</v>
      </c>
      <c r="E217" s="1">
        <v>0.97164271108191336</v>
      </c>
    </row>
    <row r="218" spans="1:5" x14ac:dyDescent="0.3">
      <c r="A218">
        <v>1</v>
      </c>
      <c r="B218">
        <v>211</v>
      </c>
      <c r="C218">
        <v>0.57808219178082187</v>
      </c>
      <c r="D218" s="1">
        <v>1.0293258872603288</v>
      </c>
      <c r="E218" s="1">
        <v>0.97150961845681061</v>
      </c>
    </row>
    <row r="219" spans="1:5" x14ac:dyDescent="0.3">
      <c r="A219">
        <v>1</v>
      </c>
      <c r="B219">
        <v>212</v>
      </c>
      <c r="C219">
        <v>0.58082191780821912</v>
      </c>
      <c r="D219" s="1">
        <v>1.029466900464747</v>
      </c>
      <c r="E219" s="1">
        <v>0.97137654406232565</v>
      </c>
    </row>
    <row r="220" spans="1:5" x14ac:dyDescent="0.3">
      <c r="A220">
        <v>1</v>
      </c>
      <c r="B220">
        <v>213</v>
      </c>
      <c r="C220">
        <v>0.58356164383561648</v>
      </c>
      <c r="D220" s="1">
        <v>1.0296079329873655</v>
      </c>
      <c r="E220" s="1">
        <v>0.97124348789596116</v>
      </c>
    </row>
    <row r="221" spans="1:5" x14ac:dyDescent="0.3">
      <c r="A221">
        <v>1</v>
      </c>
      <c r="B221">
        <v>214</v>
      </c>
      <c r="C221">
        <v>0.58630136986301373</v>
      </c>
      <c r="D221" s="1">
        <v>1.0297489848308312</v>
      </c>
      <c r="E221" s="1">
        <v>0.97111044995522056</v>
      </c>
    </row>
    <row r="222" spans="1:5" x14ac:dyDescent="0.3">
      <c r="A222">
        <v>1</v>
      </c>
      <c r="B222">
        <v>215</v>
      </c>
      <c r="C222">
        <v>0.58904109589041098</v>
      </c>
      <c r="D222" s="1">
        <v>1.0298900559977906</v>
      </c>
      <c r="E222" s="1">
        <v>0.97097743023760708</v>
      </c>
    </row>
    <row r="223" spans="1:5" x14ac:dyDescent="0.3">
      <c r="A223">
        <v>1</v>
      </c>
      <c r="B223">
        <v>216</v>
      </c>
      <c r="C223">
        <v>0.59178082191780823</v>
      </c>
      <c r="D223" s="1">
        <v>1.0300311464908911</v>
      </c>
      <c r="E223" s="1">
        <v>0.97084442874062482</v>
      </c>
    </row>
    <row r="224" spans="1:5" x14ac:dyDescent="0.3">
      <c r="A224">
        <v>1</v>
      </c>
      <c r="B224">
        <v>217</v>
      </c>
      <c r="C224">
        <v>0.59452054794520548</v>
      </c>
      <c r="D224" s="1">
        <v>1.0301722563127802</v>
      </c>
      <c r="E224" s="1">
        <v>0.97071144546177779</v>
      </c>
    </row>
    <row r="225" spans="1:5" x14ac:dyDescent="0.3">
      <c r="A225">
        <v>1</v>
      </c>
      <c r="B225">
        <v>218</v>
      </c>
      <c r="C225">
        <v>0.59726027397260273</v>
      </c>
      <c r="D225" s="1">
        <v>1.0303133854661062</v>
      </c>
      <c r="E225" s="1">
        <v>0.97057848039857064</v>
      </c>
    </row>
    <row r="226" spans="1:5" x14ac:dyDescent="0.3">
      <c r="A226">
        <v>1</v>
      </c>
      <c r="B226">
        <v>219</v>
      </c>
      <c r="C226">
        <v>0.6</v>
      </c>
      <c r="D226" s="1">
        <v>1.0304545339535169</v>
      </c>
      <c r="E226" s="1">
        <v>0.97044553354850815</v>
      </c>
    </row>
    <row r="227" spans="1:5" x14ac:dyDescent="0.3">
      <c r="A227">
        <v>1</v>
      </c>
      <c r="B227">
        <v>220</v>
      </c>
      <c r="C227">
        <v>0.60273972602739723</v>
      </c>
      <c r="D227" s="1">
        <v>1.0305957017776612</v>
      </c>
      <c r="E227" s="1">
        <v>0.97031260490909566</v>
      </c>
    </row>
    <row r="228" spans="1:5" x14ac:dyDescent="0.3">
      <c r="A228">
        <v>1</v>
      </c>
      <c r="B228">
        <v>221</v>
      </c>
      <c r="C228">
        <v>0.60547945205479448</v>
      </c>
      <c r="D228" s="1">
        <v>1.0307368889411883</v>
      </c>
      <c r="E228" s="1">
        <v>0.97017969447783869</v>
      </c>
    </row>
    <row r="229" spans="1:5" x14ac:dyDescent="0.3">
      <c r="A229">
        <v>1</v>
      </c>
      <c r="B229">
        <v>222</v>
      </c>
      <c r="C229">
        <v>0.60821917808219184</v>
      </c>
      <c r="D229" s="1">
        <v>1.0308780954467476</v>
      </c>
      <c r="E229" s="1">
        <v>0.97004680225224305</v>
      </c>
    </row>
    <row r="230" spans="1:5" x14ac:dyDescent="0.3">
      <c r="A230">
        <v>1</v>
      </c>
      <c r="B230">
        <v>223</v>
      </c>
      <c r="C230">
        <v>0.61095890410958908</v>
      </c>
      <c r="D230" s="1">
        <v>1.0310193212969885</v>
      </c>
      <c r="E230" s="1">
        <v>0.96991392822981504</v>
      </c>
    </row>
    <row r="231" spans="1:5" x14ac:dyDescent="0.3">
      <c r="A231">
        <v>1</v>
      </c>
      <c r="B231">
        <v>224</v>
      </c>
      <c r="C231">
        <v>0.61369863013698633</v>
      </c>
      <c r="D231" s="1">
        <v>1.0311605664945616</v>
      </c>
      <c r="E231" s="1">
        <v>0.96978107240806133</v>
      </c>
    </row>
    <row r="232" spans="1:5" x14ac:dyDescent="0.3">
      <c r="A232">
        <v>1</v>
      </c>
      <c r="B232">
        <v>225</v>
      </c>
      <c r="C232">
        <v>0.61643835616438358</v>
      </c>
      <c r="D232" s="1">
        <v>1.0313018310421171</v>
      </c>
      <c r="E232" s="1">
        <v>0.96964823478448869</v>
      </c>
    </row>
    <row r="233" spans="1:5" x14ac:dyDescent="0.3">
      <c r="A233">
        <v>1</v>
      </c>
      <c r="B233">
        <v>226</v>
      </c>
      <c r="C233">
        <v>0.61917808219178083</v>
      </c>
      <c r="D233" s="1">
        <v>1.0314431149423062</v>
      </c>
      <c r="E233" s="1">
        <v>0.96951541535660457</v>
      </c>
    </row>
    <row r="234" spans="1:5" x14ac:dyDescent="0.3">
      <c r="A234">
        <v>1</v>
      </c>
      <c r="B234">
        <v>227</v>
      </c>
      <c r="C234">
        <v>0.62191780821917808</v>
      </c>
      <c r="D234" s="1">
        <v>1.0315844181977798</v>
      </c>
      <c r="E234" s="1">
        <v>0.9693826141219164</v>
      </c>
    </row>
    <row r="235" spans="1:5" x14ac:dyDescent="0.3">
      <c r="A235">
        <v>1</v>
      </c>
      <c r="B235">
        <v>228</v>
      </c>
      <c r="C235">
        <v>0.62465753424657533</v>
      </c>
      <c r="D235" s="1">
        <v>1.0317257408111895</v>
      </c>
      <c r="E235" s="1">
        <v>0.96924983107793228</v>
      </c>
    </row>
    <row r="236" spans="1:5" x14ac:dyDescent="0.3">
      <c r="A236">
        <v>1</v>
      </c>
      <c r="B236">
        <v>229</v>
      </c>
      <c r="C236">
        <v>0.62739726027397258</v>
      </c>
      <c r="D236" s="1">
        <v>1.0318670827851875</v>
      </c>
      <c r="E236" s="1">
        <v>0.96911706622216043</v>
      </c>
    </row>
    <row r="237" spans="1:5" x14ac:dyDescent="0.3">
      <c r="A237">
        <v>1</v>
      </c>
      <c r="B237">
        <v>230</v>
      </c>
      <c r="C237">
        <v>0.63013698630136983</v>
      </c>
      <c r="D237" s="1">
        <v>1.0320084441224258</v>
      </c>
      <c r="E237" s="1">
        <v>0.96898431955210951</v>
      </c>
    </row>
    <row r="238" spans="1:5" x14ac:dyDescent="0.3">
      <c r="A238">
        <v>1</v>
      </c>
      <c r="B238">
        <v>231</v>
      </c>
      <c r="C238">
        <v>0.63287671232876708</v>
      </c>
      <c r="D238" s="1">
        <v>1.0321498248255572</v>
      </c>
      <c r="E238" s="1">
        <v>0.96885159106528851</v>
      </c>
    </row>
    <row r="239" spans="1:5" x14ac:dyDescent="0.3">
      <c r="A239">
        <v>1</v>
      </c>
      <c r="B239">
        <v>232</v>
      </c>
      <c r="C239">
        <v>0.63561643835616444</v>
      </c>
      <c r="D239" s="1">
        <v>1.0322912248972349</v>
      </c>
      <c r="E239" s="1">
        <v>0.96871888075920665</v>
      </c>
    </row>
    <row r="240" spans="1:5" x14ac:dyDescent="0.3">
      <c r="A240">
        <v>1</v>
      </c>
      <c r="B240">
        <v>233</v>
      </c>
      <c r="C240">
        <v>0.63835616438356169</v>
      </c>
      <c r="D240" s="1">
        <v>1.0324326443401122</v>
      </c>
      <c r="E240" s="1">
        <v>0.9685861886313738</v>
      </c>
    </row>
    <row r="241" spans="1:5" x14ac:dyDescent="0.3">
      <c r="A241">
        <v>1</v>
      </c>
      <c r="B241">
        <v>234</v>
      </c>
      <c r="C241">
        <v>0.64109589041095894</v>
      </c>
      <c r="D241" s="1">
        <v>1.0325740831568428</v>
      </c>
      <c r="E241" s="1">
        <v>0.96845351467929963</v>
      </c>
    </row>
    <row r="242" spans="1:5" x14ac:dyDescent="0.3">
      <c r="A242">
        <v>1</v>
      </c>
      <c r="B242">
        <v>235</v>
      </c>
      <c r="C242">
        <v>0.64383561643835618</v>
      </c>
      <c r="D242" s="1">
        <v>1.032715541350081</v>
      </c>
      <c r="E242" s="1">
        <v>0.9683208589004948</v>
      </c>
    </row>
    <row r="243" spans="1:5" x14ac:dyDescent="0.3">
      <c r="A243">
        <v>1</v>
      </c>
      <c r="B243">
        <v>236</v>
      </c>
      <c r="C243">
        <v>0.64657534246575343</v>
      </c>
      <c r="D243" s="1">
        <v>1.0328570189224813</v>
      </c>
      <c r="E243" s="1">
        <v>0.96818822129246984</v>
      </c>
    </row>
    <row r="244" spans="1:5" x14ac:dyDescent="0.3">
      <c r="A244">
        <v>1</v>
      </c>
      <c r="B244">
        <v>237</v>
      </c>
      <c r="C244">
        <v>0.64931506849315068</v>
      </c>
      <c r="D244" s="1">
        <v>1.0329985158766983</v>
      </c>
      <c r="E244" s="1">
        <v>0.96805560185273576</v>
      </c>
    </row>
    <row r="245" spans="1:5" x14ac:dyDescent="0.3">
      <c r="A245">
        <v>1</v>
      </c>
      <c r="B245">
        <v>238</v>
      </c>
      <c r="C245">
        <v>0.65205479452054793</v>
      </c>
      <c r="D245" s="1">
        <v>1.0331400322153874</v>
      </c>
      <c r="E245" s="1">
        <v>0.96792300057880398</v>
      </c>
    </row>
    <row r="246" spans="1:5" x14ac:dyDescent="0.3">
      <c r="A246">
        <v>1</v>
      </c>
      <c r="B246">
        <v>239</v>
      </c>
      <c r="C246">
        <v>0.65479452054794518</v>
      </c>
      <c r="D246" s="1">
        <v>1.0332815679412042</v>
      </c>
      <c r="E246" s="1">
        <v>0.96779041746818617</v>
      </c>
    </row>
    <row r="247" spans="1:5" x14ac:dyDescent="0.3">
      <c r="A247">
        <v>1</v>
      </c>
      <c r="B247">
        <v>240</v>
      </c>
      <c r="C247">
        <v>0.65753424657534243</v>
      </c>
      <c r="D247" s="1">
        <v>1.0334231230568047</v>
      </c>
      <c r="E247" s="1">
        <v>0.96765785251839442</v>
      </c>
    </row>
    <row r="248" spans="1:5" x14ac:dyDescent="0.3">
      <c r="A248">
        <v>1</v>
      </c>
      <c r="B248">
        <v>241</v>
      </c>
      <c r="C248">
        <v>0.66027397260273968</v>
      </c>
      <c r="D248" s="1">
        <v>1.0335646975648449</v>
      </c>
      <c r="E248" s="1">
        <v>0.96752530572694107</v>
      </c>
    </row>
    <row r="249" spans="1:5" x14ac:dyDescent="0.3">
      <c r="A249">
        <v>1</v>
      </c>
      <c r="B249">
        <v>242</v>
      </c>
      <c r="C249">
        <v>0.66301369863013704</v>
      </c>
      <c r="D249" s="1">
        <v>1.033706291467982</v>
      </c>
      <c r="E249" s="1">
        <v>0.96739277709133875</v>
      </c>
    </row>
    <row r="250" spans="1:5" x14ac:dyDescent="0.3">
      <c r="A250">
        <v>1</v>
      </c>
      <c r="B250">
        <v>243</v>
      </c>
      <c r="C250">
        <v>0.66575342465753429</v>
      </c>
      <c r="D250" s="1">
        <v>1.0338479047688727</v>
      </c>
      <c r="E250" s="1">
        <v>0.96726026660910081</v>
      </c>
    </row>
    <row r="251" spans="1:5" x14ac:dyDescent="0.3">
      <c r="A251">
        <v>1</v>
      </c>
      <c r="B251">
        <v>244</v>
      </c>
      <c r="C251">
        <v>0.66849315068493154</v>
      </c>
      <c r="D251" s="1">
        <v>1.0339895374701744</v>
      </c>
      <c r="E251" s="1">
        <v>0.96712777427774033</v>
      </c>
    </row>
    <row r="252" spans="1:5" x14ac:dyDescent="0.3">
      <c r="A252">
        <v>1</v>
      </c>
      <c r="B252">
        <v>245</v>
      </c>
      <c r="C252">
        <v>0.67123287671232879</v>
      </c>
      <c r="D252" s="1">
        <v>1.0341311895745451</v>
      </c>
      <c r="E252" s="1">
        <v>0.9669953000947713</v>
      </c>
    </row>
    <row r="253" spans="1:5" x14ac:dyDescent="0.3">
      <c r="A253">
        <v>1</v>
      </c>
      <c r="B253">
        <v>246</v>
      </c>
      <c r="C253">
        <v>0.67397260273972603</v>
      </c>
      <c r="D253" s="1">
        <v>1.0342728610846426</v>
      </c>
      <c r="E253" s="1">
        <v>0.96686284405770773</v>
      </c>
    </row>
    <row r="254" spans="1:5" x14ac:dyDescent="0.3">
      <c r="A254">
        <v>1</v>
      </c>
      <c r="B254">
        <v>247</v>
      </c>
      <c r="C254">
        <v>0.67671232876712328</v>
      </c>
      <c r="D254" s="1">
        <v>1.0344145520031256</v>
      </c>
      <c r="E254" s="1">
        <v>0.96673040616406403</v>
      </c>
    </row>
    <row r="255" spans="1:5" x14ac:dyDescent="0.3">
      <c r="A255">
        <v>1</v>
      </c>
      <c r="B255">
        <v>248</v>
      </c>
      <c r="C255">
        <v>0.67945205479452053</v>
      </c>
      <c r="D255" s="1">
        <v>1.0345562623326532</v>
      </c>
      <c r="E255" s="1">
        <v>0.96659798641135497</v>
      </c>
    </row>
    <row r="256" spans="1:5" x14ac:dyDescent="0.3">
      <c r="A256">
        <v>1</v>
      </c>
      <c r="B256">
        <v>249</v>
      </c>
      <c r="C256">
        <v>0.68219178082191778</v>
      </c>
      <c r="D256" s="1">
        <v>1.0346979920758841</v>
      </c>
      <c r="E256" s="1">
        <v>0.96646558479709566</v>
      </c>
    </row>
    <row r="257" spans="1:5" x14ac:dyDescent="0.3">
      <c r="A257">
        <v>1</v>
      </c>
      <c r="B257">
        <v>250</v>
      </c>
      <c r="C257">
        <v>0.68493150684931503</v>
      </c>
      <c r="D257" s="1">
        <v>1.0348397412354782</v>
      </c>
      <c r="E257" s="1">
        <v>0.96633320131880163</v>
      </c>
    </row>
    <row r="258" spans="1:5" x14ac:dyDescent="0.3">
      <c r="D258" s="1"/>
      <c r="E258" s="1"/>
    </row>
    <row r="259" spans="1:5" x14ac:dyDescent="0.3">
      <c r="D259" s="1"/>
      <c r="E259" s="1"/>
    </row>
    <row r="260" spans="1:5" x14ac:dyDescent="0.3">
      <c r="D260" s="1"/>
      <c r="E260" s="1"/>
    </row>
    <row r="261" spans="1:5" x14ac:dyDescent="0.3">
      <c r="D261" s="1"/>
      <c r="E261" s="1"/>
    </row>
    <row r="262" spans="1:5" x14ac:dyDescent="0.3">
      <c r="D262" s="1"/>
      <c r="E262" s="1"/>
    </row>
    <row r="263" spans="1:5" x14ac:dyDescent="0.3">
      <c r="D263" s="1"/>
      <c r="E263" s="1"/>
    </row>
    <row r="264" spans="1:5" x14ac:dyDescent="0.3">
      <c r="D264" s="1"/>
      <c r="E264" s="1"/>
    </row>
    <row r="265" spans="1:5" x14ac:dyDescent="0.3">
      <c r="D265" s="1"/>
      <c r="E265" s="1"/>
    </row>
    <row r="266" spans="1:5" x14ac:dyDescent="0.3">
      <c r="D266" s="1"/>
      <c r="E266" s="1"/>
    </row>
    <row r="267" spans="1:5" x14ac:dyDescent="0.3">
      <c r="D267" s="1"/>
      <c r="E267" s="1"/>
    </row>
    <row r="268" spans="1:5" x14ac:dyDescent="0.3">
      <c r="D268" s="1"/>
      <c r="E268" s="1"/>
    </row>
    <row r="269" spans="1:5" x14ac:dyDescent="0.3">
      <c r="D269" s="1"/>
      <c r="E269" s="1"/>
    </row>
    <row r="270" spans="1:5" x14ac:dyDescent="0.3">
      <c r="D270" s="1"/>
      <c r="E270" s="1"/>
    </row>
    <row r="271" spans="1:5" x14ac:dyDescent="0.3">
      <c r="D271" s="1"/>
      <c r="E271" s="1"/>
    </row>
    <row r="272" spans="1:5" x14ac:dyDescent="0.3">
      <c r="D272" s="1"/>
      <c r="E272" s="1"/>
    </row>
    <row r="273" spans="4:5" x14ac:dyDescent="0.3">
      <c r="D273" s="1"/>
      <c r="E273" s="1"/>
    </row>
    <row r="274" spans="4:5" x14ac:dyDescent="0.3">
      <c r="D274" s="1"/>
      <c r="E274" s="1"/>
    </row>
    <row r="275" spans="4:5" x14ac:dyDescent="0.3">
      <c r="D275" s="1"/>
      <c r="E275" s="1"/>
    </row>
    <row r="276" spans="4:5" x14ac:dyDescent="0.3">
      <c r="D276" s="1"/>
      <c r="E276" s="1"/>
    </row>
    <row r="277" spans="4:5" x14ac:dyDescent="0.3">
      <c r="D277" s="1"/>
      <c r="E277" s="1"/>
    </row>
    <row r="278" spans="4:5" x14ac:dyDescent="0.3">
      <c r="D278" s="1"/>
      <c r="E278" s="1"/>
    </row>
    <row r="279" spans="4:5" x14ac:dyDescent="0.3">
      <c r="D279" s="1"/>
      <c r="E279" s="1"/>
    </row>
    <row r="280" spans="4:5" x14ac:dyDescent="0.3">
      <c r="D280" s="1"/>
      <c r="E280" s="1"/>
    </row>
    <row r="281" spans="4:5" x14ac:dyDescent="0.3">
      <c r="D281" s="1"/>
      <c r="E281" s="1"/>
    </row>
    <row r="282" spans="4:5" x14ac:dyDescent="0.3">
      <c r="D282" s="1"/>
      <c r="E282" s="1"/>
    </row>
    <row r="283" spans="4:5" x14ac:dyDescent="0.3">
      <c r="D283" s="1"/>
      <c r="E283" s="1"/>
    </row>
    <row r="284" spans="4:5" x14ac:dyDescent="0.3">
      <c r="D284" s="1"/>
      <c r="E284" s="1"/>
    </row>
    <row r="285" spans="4:5" x14ac:dyDescent="0.3">
      <c r="D285" s="1"/>
      <c r="E285" s="1"/>
    </row>
    <row r="286" spans="4:5" x14ac:dyDescent="0.3">
      <c r="D286" s="1"/>
      <c r="E286" s="1"/>
    </row>
    <row r="287" spans="4:5" x14ac:dyDescent="0.3">
      <c r="D287" s="1"/>
      <c r="E287" s="1"/>
    </row>
    <row r="288" spans="4:5" x14ac:dyDescent="0.3">
      <c r="D288" s="1"/>
      <c r="E288" s="1"/>
    </row>
    <row r="289" spans="4:5" x14ac:dyDescent="0.3">
      <c r="D289" s="1"/>
      <c r="E289" s="1"/>
    </row>
    <row r="290" spans="4:5" x14ac:dyDescent="0.3">
      <c r="D290" s="1"/>
      <c r="E290" s="1"/>
    </row>
    <row r="291" spans="4:5" x14ac:dyDescent="0.3">
      <c r="D291" s="1"/>
      <c r="E291" s="1"/>
    </row>
    <row r="292" spans="4:5" x14ac:dyDescent="0.3">
      <c r="D292" s="1"/>
      <c r="E292" s="1"/>
    </row>
    <row r="293" spans="4:5" x14ac:dyDescent="0.3">
      <c r="D293" s="1"/>
      <c r="E293" s="1"/>
    </row>
    <row r="294" spans="4:5" x14ac:dyDescent="0.3">
      <c r="D294" s="1"/>
      <c r="E294" s="1"/>
    </row>
    <row r="295" spans="4:5" x14ac:dyDescent="0.3">
      <c r="D295" s="1"/>
      <c r="E295" s="1"/>
    </row>
    <row r="296" spans="4:5" x14ac:dyDescent="0.3">
      <c r="D296" s="1"/>
      <c r="E296" s="1"/>
    </row>
    <row r="297" spans="4:5" x14ac:dyDescent="0.3">
      <c r="D297" s="1"/>
      <c r="E297" s="1"/>
    </row>
    <row r="298" spans="4:5" x14ac:dyDescent="0.3">
      <c r="D298" s="1"/>
      <c r="E298" s="1"/>
    </row>
    <row r="299" spans="4:5" x14ac:dyDescent="0.3">
      <c r="D299" s="1"/>
      <c r="E299" s="1"/>
    </row>
    <row r="300" spans="4:5" x14ac:dyDescent="0.3">
      <c r="D300" s="1"/>
      <c r="E300" s="1"/>
    </row>
    <row r="301" spans="4:5" x14ac:dyDescent="0.3">
      <c r="D301" s="1"/>
      <c r="E301" s="1"/>
    </row>
    <row r="302" spans="4:5" x14ac:dyDescent="0.3">
      <c r="D302" s="1"/>
      <c r="E302" s="1"/>
    </row>
    <row r="303" spans="4:5" x14ac:dyDescent="0.3">
      <c r="D303" s="1"/>
      <c r="E303" s="1"/>
    </row>
    <row r="304" spans="4:5" x14ac:dyDescent="0.3">
      <c r="D304" s="1"/>
      <c r="E304" s="1"/>
    </row>
    <row r="305" spans="4:5" x14ac:dyDescent="0.3">
      <c r="D305" s="1"/>
      <c r="E305" s="1"/>
    </row>
    <row r="306" spans="4:5" x14ac:dyDescent="0.3">
      <c r="D306" s="1"/>
      <c r="E306" s="1"/>
    </row>
    <row r="307" spans="4:5" x14ac:dyDescent="0.3">
      <c r="D307" s="1"/>
      <c r="E307" s="1"/>
    </row>
    <row r="308" spans="4:5" x14ac:dyDescent="0.3">
      <c r="D308" s="1"/>
      <c r="E308" s="1"/>
    </row>
    <row r="309" spans="4:5" x14ac:dyDescent="0.3">
      <c r="D309" s="1"/>
      <c r="E309" s="1"/>
    </row>
    <row r="310" spans="4:5" x14ac:dyDescent="0.3">
      <c r="D310" s="1"/>
      <c r="E310" s="1"/>
    </row>
    <row r="311" spans="4:5" x14ac:dyDescent="0.3">
      <c r="D311" s="1"/>
      <c r="E311" s="1"/>
    </row>
    <row r="312" spans="4:5" x14ac:dyDescent="0.3">
      <c r="D312" s="1"/>
      <c r="E312" s="1"/>
    </row>
    <row r="313" spans="4:5" x14ac:dyDescent="0.3">
      <c r="D313" s="1"/>
      <c r="E313" s="1"/>
    </row>
    <row r="314" spans="4:5" x14ac:dyDescent="0.3">
      <c r="D314" s="1"/>
      <c r="E314" s="1"/>
    </row>
    <row r="315" spans="4:5" x14ac:dyDescent="0.3">
      <c r="D315" s="1"/>
      <c r="E315" s="1"/>
    </row>
    <row r="316" spans="4:5" x14ac:dyDescent="0.3">
      <c r="D316" s="1"/>
      <c r="E316" s="1"/>
    </row>
    <row r="317" spans="4:5" x14ac:dyDescent="0.3">
      <c r="D317" s="1"/>
      <c r="E317" s="1"/>
    </row>
    <row r="318" spans="4:5" x14ac:dyDescent="0.3">
      <c r="D318" s="1"/>
      <c r="E318" s="1"/>
    </row>
    <row r="319" spans="4:5" x14ac:dyDescent="0.3">
      <c r="D319" s="1"/>
      <c r="E319" s="1"/>
    </row>
    <row r="320" spans="4:5" x14ac:dyDescent="0.3">
      <c r="D320" s="1"/>
      <c r="E320" s="1"/>
    </row>
    <row r="321" spans="4:5" x14ac:dyDescent="0.3">
      <c r="D321" s="1"/>
      <c r="E321" s="1"/>
    </row>
    <row r="322" spans="4:5" x14ac:dyDescent="0.3">
      <c r="D322" s="1"/>
      <c r="E322" s="1"/>
    </row>
    <row r="323" spans="4:5" x14ac:dyDescent="0.3">
      <c r="D323" s="1"/>
      <c r="E323" s="1"/>
    </row>
    <row r="324" spans="4:5" x14ac:dyDescent="0.3">
      <c r="D324" s="1"/>
      <c r="E324" s="1"/>
    </row>
    <row r="325" spans="4:5" x14ac:dyDescent="0.3">
      <c r="D325" s="1"/>
      <c r="E325" s="1"/>
    </row>
    <row r="326" spans="4:5" x14ac:dyDescent="0.3">
      <c r="D326" s="1"/>
      <c r="E326" s="1"/>
    </row>
    <row r="327" spans="4:5" x14ac:dyDescent="0.3">
      <c r="D327" s="1"/>
      <c r="E327" s="1"/>
    </row>
    <row r="328" spans="4:5" x14ac:dyDescent="0.3">
      <c r="D328" s="1"/>
      <c r="E328" s="1"/>
    </row>
    <row r="329" spans="4:5" x14ac:dyDescent="0.3">
      <c r="D329" s="1"/>
      <c r="E329" s="1"/>
    </row>
    <row r="330" spans="4:5" x14ac:dyDescent="0.3">
      <c r="D330" s="1"/>
      <c r="E330" s="1"/>
    </row>
    <row r="331" spans="4:5" x14ac:dyDescent="0.3">
      <c r="D331" s="1"/>
      <c r="E331" s="1"/>
    </row>
    <row r="332" spans="4:5" x14ac:dyDescent="0.3">
      <c r="D332" s="1"/>
      <c r="E332" s="1"/>
    </row>
    <row r="333" spans="4:5" x14ac:dyDescent="0.3">
      <c r="D333" s="1"/>
      <c r="E333" s="1"/>
    </row>
    <row r="334" spans="4:5" x14ac:dyDescent="0.3">
      <c r="D334" s="1"/>
      <c r="E334" s="1"/>
    </row>
    <row r="335" spans="4:5" x14ac:dyDescent="0.3">
      <c r="D335" s="1"/>
      <c r="E335" s="1"/>
    </row>
    <row r="336" spans="4:5" x14ac:dyDescent="0.3">
      <c r="D336" s="1"/>
      <c r="E336" s="1"/>
    </row>
    <row r="337" spans="4:5" x14ac:dyDescent="0.3">
      <c r="D337" s="1"/>
      <c r="E337" s="1"/>
    </row>
    <row r="338" spans="4:5" x14ac:dyDescent="0.3">
      <c r="D338" s="1"/>
      <c r="E338" s="1"/>
    </row>
    <row r="339" spans="4:5" x14ac:dyDescent="0.3">
      <c r="D339" s="1"/>
      <c r="E339" s="1"/>
    </row>
    <row r="340" spans="4:5" x14ac:dyDescent="0.3">
      <c r="D340" s="1"/>
      <c r="E340" s="1"/>
    </row>
    <row r="341" spans="4:5" x14ac:dyDescent="0.3">
      <c r="D341" s="1"/>
      <c r="E341" s="1"/>
    </row>
    <row r="342" spans="4:5" x14ac:dyDescent="0.3">
      <c r="D342" s="1"/>
      <c r="E342" s="1"/>
    </row>
    <row r="343" spans="4:5" x14ac:dyDescent="0.3">
      <c r="D343" s="1"/>
      <c r="E343" s="1"/>
    </row>
    <row r="344" spans="4:5" x14ac:dyDescent="0.3">
      <c r="D344" s="1"/>
      <c r="E344" s="1"/>
    </row>
    <row r="345" spans="4:5" x14ac:dyDescent="0.3">
      <c r="D345" s="1"/>
      <c r="E345" s="1"/>
    </row>
    <row r="346" spans="4:5" x14ac:dyDescent="0.3">
      <c r="D346" s="1"/>
      <c r="E346" s="1"/>
    </row>
    <row r="347" spans="4:5" x14ac:dyDescent="0.3">
      <c r="D347" s="1"/>
      <c r="E347" s="1"/>
    </row>
    <row r="348" spans="4:5" x14ac:dyDescent="0.3">
      <c r="D348" s="1"/>
      <c r="E348" s="1"/>
    </row>
    <row r="349" spans="4:5" x14ac:dyDescent="0.3">
      <c r="D349" s="1"/>
      <c r="E349" s="1"/>
    </row>
    <row r="350" spans="4:5" x14ac:dyDescent="0.3">
      <c r="D350" s="1"/>
      <c r="E350" s="1"/>
    </row>
    <row r="351" spans="4:5" x14ac:dyDescent="0.3">
      <c r="D351" s="1"/>
      <c r="E351" s="1"/>
    </row>
    <row r="352" spans="4:5" x14ac:dyDescent="0.3">
      <c r="D352" s="1"/>
      <c r="E352" s="1"/>
    </row>
    <row r="353" spans="4:5" x14ac:dyDescent="0.3">
      <c r="D353" s="1"/>
      <c r="E353" s="1"/>
    </row>
    <row r="354" spans="4:5" x14ac:dyDescent="0.3">
      <c r="D354" s="1"/>
      <c r="E354" s="1"/>
    </row>
    <row r="355" spans="4:5" x14ac:dyDescent="0.3">
      <c r="D355" s="1"/>
      <c r="E355" s="1"/>
    </row>
    <row r="356" spans="4:5" x14ac:dyDescent="0.3">
      <c r="D356" s="1"/>
      <c r="E356" s="1"/>
    </row>
    <row r="357" spans="4:5" x14ac:dyDescent="0.3">
      <c r="D357" s="1"/>
      <c r="E357" s="1"/>
    </row>
    <row r="358" spans="4:5" x14ac:dyDescent="0.3">
      <c r="D358" s="1"/>
      <c r="E358" s="1"/>
    </row>
    <row r="359" spans="4:5" x14ac:dyDescent="0.3">
      <c r="D359" s="1"/>
      <c r="E359" s="1"/>
    </row>
    <row r="360" spans="4:5" x14ac:dyDescent="0.3">
      <c r="D360" s="1"/>
      <c r="E360" s="1"/>
    </row>
    <row r="361" spans="4:5" x14ac:dyDescent="0.3">
      <c r="D361" s="1"/>
      <c r="E361" s="1"/>
    </row>
    <row r="362" spans="4:5" x14ac:dyDescent="0.3">
      <c r="D362" s="1"/>
      <c r="E362" s="1"/>
    </row>
    <row r="363" spans="4:5" x14ac:dyDescent="0.3">
      <c r="D363" s="1"/>
      <c r="E363" s="1"/>
    </row>
    <row r="364" spans="4:5" x14ac:dyDescent="0.3">
      <c r="D364" s="1"/>
      <c r="E364" s="1"/>
    </row>
    <row r="365" spans="4:5" x14ac:dyDescent="0.3">
      <c r="D365" s="1"/>
      <c r="E365" s="1"/>
    </row>
    <row r="366" spans="4:5" x14ac:dyDescent="0.3">
      <c r="D366" s="1"/>
      <c r="E366" s="1"/>
    </row>
    <row r="367" spans="4:5" x14ac:dyDescent="0.3">
      <c r="D367" s="1"/>
      <c r="E367" s="1"/>
    </row>
    <row r="368" spans="4:5" x14ac:dyDescent="0.3">
      <c r="D368" s="1"/>
      <c r="E368" s="1"/>
    </row>
    <row r="369" spans="4:5" x14ac:dyDescent="0.3">
      <c r="D369" s="1"/>
      <c r="E369" s="1"/>
    </row>
    <row r="370" spans="4:5" x14ac:dyDescent="0.3">
      <c r="D370" s="1"/>
      <c r="E370" s="1"/>
    </row>
    <row r="371" spans="4:5" x14ac:dyDescent="0.3">
      <c r="D371" s="1"/>
      <c r="E371" s="1"/>
    </row>
    <row r="372" spans="4:5" x14ac:dyDescent="0.3">
      <c r="D372" s="1"/>
      <c r="E372" s="1"/>
    </row>
    <row r="373" spans="4:5" x14ac:dyDescent="0.3">
      <c r="D373" s="1"/>
      <c r="E373" s="1"/>
    </row>
    <row r="374" spans="4:5" x14ac:dyDescent="0.3">
      <c r="D374" s="1"/>
      <c r="E374" s="1"/>
    </row>
    <row r="375" spans="4:5" x14ac:dyDescent="0.3">
      <c r="D375" s="1"/>
      <c r="E375" s="1"/>
    </row>
    <row r="376" spans="4:5" x14ac:dyDescent="0.3">
      <c r="D376" s="1"/>
      <c r="E376" s="1"/>
    </row>
    <row r="377" spans="4:5" x14ac:dyDescent="0.3">
      <c r="D377" s="1"/>
      <c r="E377" s="1"/>
    </row>
    <row r="378" spans="4:5" x14ac:dyDescent="0.3">
      <c r="D378" s="1"/>
      <c r="E378" s="1"/>
    </row>
    <row r="379" spans="4:5" x14ac:dyDescent="0.3">
      <c r="D379" s="1"/>
      <c r="E379" s="1"/>
    </row>
    <row r="380" spans="4:5" x14ac:dyDescent="0.3">
      <c r="D380" s="1"/>
      <c r="E380" s="1"/>
    </row>
    <row r="381" spans="4:5" x14ac:dyDescent="0.3">
      <c r="D381" s="1"/>
      <c r="E381" s="1"/>
    </row>
    <row r="382" spans="4:5" x14ac:dyDescent="0.3">
      <c r="D382" s="1"/>
      <c r="E382" s="1"/>
    </row>
    <row r="383" spans="4:5" x14ac:dyDescent="0.3">
      <c r="D383" s="1"/>
      <c r="E383" s="1"/>
    </row>
    <row r="384" spans="4:5" x14ac:dyDescent="0.3">
      <c r="D384" s="1"/>
      <c r="E384" s="1"/>
    </row>
    <row r="385" spans="4:5" x14ac:dyDescent="0.3">
      <c r="D385" s="1"/>
      <c r="E385" s="1"/>
    </row>
    <row r="386" spans="4:5" x14ac:dyDescent="0.3">
      <c r="D386" s="1"/>
      <c r="E386" s="1"/>
    </row>
    <row r="387" spans="4:5" x14ac:dyDescent="0.3">
      <c r="D387" s="1"/>
      <c r="E387" s="1"/>
    </row>
    <row r="388" spans="4:5" x14ac:dyDescent="0.3">
      <c r="D388" s="1"/>
      <c r="E388" s="1"/>
    </row>
    <row r="389" spans="4:5" x14ac:dyDescent="0.3">
      <c r="D389" s="1"/>
      <c r="E389" s="1"/>
    </row>
    <row r="390" spans="4:5" x14ac:dyDescent="0.3">
      <c r="D390" s="1"/>
      <c r="E390" s="1"/>
    </row>
    <row r="391" spans="4:5" x14ac:dyDescent="0.3">
      <c r="D391" s="1"/>
      <c r="E391" s="1"/>
    </row>
    <row r="392" spans="4:5" x14ac:dyDescent="0.3">
      <c r="D392" s="1"/>
      <c r="E392" s="1"/>
    </row>
    <row r="393" spans="4:5" x14ac:dyDescent="0.3">
      <c r="D393" s="1"/>
      <c r="E393" s="1"/>
    </row>
    <row r="394" spans="4:5" x14ac:dyDescent="0.3">
      <c r="D394" s="1"/>
      <c r="E394" s="1"/>
    </row>
    <row r="395" spans="4:5" x14ac:dyDescent="0.3">
      <c r="D395" s="1"/>
      <c r="E395" s="1"/>
    </row>
    <row r="396" spans="4:5" x14ac:dyDescent="0.3">
      <c r="D396" s="1"/>
      <c r="E396" s="1"/>
    </row>
    <row r="397" spans="4:5" x14ac:dyDescent="0.3">
      <c r="D397" s="1"/>
      <c r="E397" s="1"/>
    </row>
    <row r="398" spans="4:5" x14ac:dyDescent="0.3">
      <c r="D398" s="1"/>
      <c r="E398" s="1"/>
    </row>
    <row r="399" spans="4:5" x14ac:dyDescent="0.3">
      <c r="D399" s="1"/>
      <c r="E399" s="1"/>
    </row>
    <row r="400" spans="4:5" x14ac:dyDescent="0.3">
      <c r="D400" s="1"/>
      <c r="E400" s="1"/>
    </row>
    <row r="401" spans="4:5" x14ac:dyDescent="0.3">
      <c r="D401" s="1"/>
      <c r="E401" s="1"/>
    </row>
    <row r="402" spans="4:5" x14ac:dyDescent="0.3">
      <c r="D402" s="1"/>
      <c r="E402" s="1"/>
    </row>
    <row r="403" spans="4:5" x14ac:dyDescent="0.3">
      <c r="D403" s="1"/>
      <c r="E403" s="1"/>
    </row>
    <row r="404" spans="4:5" x14ac:dyDescent="0.3">
      <c r="D404" s="1"/>
      <c r="E404" s="1"/>
    </row>
    <row r="405" spans="4:5" x14ac:dyDescent="0.3">
      <c r="D405" s="1"/>
      <c r="E405" s="1"/>
    </row>
    <row r="406" spans="4:5" x14ac:dyDescent="0.3">
      <c r="D406" s="1"/>
      <c r="E406" s="1"/>
    </row>
    <row r="407" spans="4:5" x14ac:dyDescent="0.3">
      <c r="D407" s="1"/>
      <c r="E407" s="1"/>
    </row>
    <row r="408" spans="4:5" x14ac:dyDescent="0.3">
      <c r="D408" s="1"/>
      <c r="E408" s="1"/>
    </row>
    <row r="409" spans="4:5" x14ac:dyDescent="0.3">
      <c r="D409" s="1"/>
      <c r="E409" s="1"/>
    </row>
    <row r="410" spans="4:5" x14ac:dyDescent="0.3">
      <c r="D410" s="1"/>
      <c r="E410" s="1"/>
    </row>
    <row r="411" spans="4:5" x14ac:dyDescent="0.3">
      <c r="D411" s="1"/>
      <c r="E411" s="1"/>
    </row>
    <row r="412" spans="4:5" x14ac:dyDescent="0.3">
      <c r="D412" s="1"/>
      <c r="E412" s="1"/>
    </row>
    <row r="413" spans="4:5" x14ac:dyDescent="0.3">
      <c r="D413" s="1"/>
      <c r="E413" s="1"/>
    </row>
    <row r="414" spans="4:5" x14ac:dyDescent="0.3">
      <c r="D414" s="1"/>
      <c r="E414" s="1"/>
    </row>
    <row r="415" spans="4:5" x14ac:dyDescent="0.3">
      <c r="D415" s="1"/>
      <c r="E415" s="1"/>
    </row>
    <row r="416" spans="4:5" x14ac:dyDescent="0.3">
      <c r="D416" s="1"/>
      <c r="E416" s="1"/>
    </row>
    <row r="417" spans="4:5" x14ac:dyDescent="0.3">
      <c r="D417" s="1"/>
      <c r="E417" s="1"/>
    </row>
    <row r="418" spans="4:5" x14ac:dyDescent="0.3">
      <c r="D418" s="1"/>
      <c r="E418" s="1"/>
    </row>
    <row r="419" spans="4:5" x14ac:dyDescent="0.3">
      <c r="D419" s="1"/>
      <c r="E419" s="1"/>
    </row>
    <row r="420" spans="4:5" x14ac:dyDescent="0.3">
      <c r="D420" s="1"/>
      <c r="E420" s="1"/>
    </row>
    <row r="421" spans="4:5" x14ac:dyDescent="0.3">
      <c r="D421" s="1"/>
      <c r="E421" s="1"/>
    </row>
    <row r="422" spans="4:5" x14ac:dyDescent="0.3">
      <c r="D422" s="1"/>
      <c r="E422" s="1"/>
    </row>
    <row r="423" spans="4:5" x14ac:dyDescent="0.3">
      <c r="D423" s="1"/>
      <c r="E423" s="1"/>
    </row>
    <row r="424" spans="4:5" x14ac:dyDescent="0.3">
      <c r="D424" s="1"/>
      <c r="E424" s="1"/>
    </row>
    <row r="425" spans="4:5" x14ac:dyDescent="0.3">
      <c r="D425" s="1"/>
      <c r="E425" s="1"/>
    </row>
    <row r="426" spans="4:5" x14ac:dyDescent="0.3">
      <c r="D426" s="1"/>
      <c r="E426" s="1"/>
    </row>
    <row r="427" spans="4:5" x14ac:dyDescent="0.3">
      <c r="D427" s="1"/>
      <c r="E427" s="1"/>
    </row>
    <row r="428" spans="4:5" x14ac:dyDescent="0.3">
      <c r="D428" s="1"/>
      <c r="E428" s="1"/>
    </row>
    <row r="429" spans="4:5" x14ac:dyDescent="0.3">
      <c r="D429" s="1"/>
      <c r="E429" s="1"/>
    </row>
    <row r="430" spans="4:5" x14ac:dyDescent="0.3">
      <c r="D430" s="1"/>
      <c r="E430" s="1"/>
    </row>
    <row r="431" spans="4:5" x14ac:dyDescent="0.3">
      <c r="D431" s="1"/>
      <c r="E431" s="1"/>
    </row>
    <row r="432" spans="4:5" x14ac:dyDescent="0.3">
      <c r="D432" s="1"/>
      <c r="E432" s="1"/>
    </row>
    <row r="433" spans="4:5" x14ac:dyDescent="0.3">
      <c r="D433" s="1"/>
      <c r="E433" s="1"/>
    </row>
    <row r="434" spans="4:5" x14ac:dyDescent="0.3">
      <c r="D434" s="1"/>
      <c r="E434" s="1"/>
    </row>
    <row r="435" spans="4:5" x14ac:dyDescent="0.3">
      <c r="D435" s="1"/>
      <c r="E435" s="1"/>
    </row>
    <row r="436" spans="4:5" x14ac:dyDescent="0.3">
      <c r="D436" s="1"/>
      <c r="E436" s="1"/>
    </row>
    <row r="437" spans="4:5" x14ac:dyDescent="0.3">
      <c r="D437" s="1"/>
      <c r="E437" s="1"/>
    </row>
    <row r="438" spans="4:5" x14ac:dyDescent="0.3">
      <c r="D438" s="1"/>
      <c r="E438" s="1"/>
    </row>
    <row r="439" spans="4:5" x14ac:dyDescent="0.3">
      <c r="D439" s="1"/>
      <c r="E439" s="1"/>
    </row>
    <row r="440" spans="4:5" x14ac:dyDescent="0.3">
      <c r="D440" s="1"/>
      <c r="E440" s="1"/>
    </row>
    <row r="441" spans="4:5" x14ac:dyDescent="0.3">
      <c r="D441" s="1"/>
      <c r="E441" s="1"/>
    </row>
    <row r="442" spans="4:5" x14ac:dyDescent="0.3">
      <c r="D442" s="1"/>
      <c r="E442" s="1"/>
    </row>
    <row r="443" spans="4:5" x14ac:dyDescent="0.3">
      <c r="D443" s="1"/>
      <c r="E443" s="1"/>
    </row>
    <row r="444" spans="4:5" x14ac:dyDescent="0.3">
      <c r="D444" s="1"/>
      <c r="E444" s="1"/>
    </row>
    <row r="445" spans="4:5" x14ac:dyDescent="0.3">
      <c r="D445" s="1"/>
      <c r="E445" s="1"/>
    </row>
    <row r="446" spans="4:5" x14ac:dyDescent="0.3">
      <c r="D446" s="1"/>
      <c r="E446" s="1"/>
    </row>
    <row r="447" spans="4:5" x14ac:dyDescent="0.3">
      <c r="D447" s="1"/>
      <c r="E447" s="1"/>
    </row>
    <row r="448" spans="4:5" x14ac:dyDescent="0.3">
      <c r="D448" s="1"/>
      <c r="E448" s="1"/>
    </row>
    <row r="449" spans="4:5" x14ac:dyDescent="0.3">
      <c r="D449" s="1"/>
      <c r="E449" s="1"/>
    </row>
    <row r="450" spans="4:5" x14ac:dyDescent="0.3">
      <c r="D450" s="1"/>
      <c r="E450" s="1"/>
    </row>
    <row r="451" spans="4:5" x14ac:dyDescent="0.3">
      <c r="D451" s="1"/>
      <c r="E451" s="1"/>
    </row>
    <row r="452" spans="4:5" x14ac:dyDescent="0.3">
      <c r="D452" s="1"/>
      <c r="E452" s="1"/>
    </row>
    <row r="453" spans="4:5" x14ac:dyDescent="0.3">
      <c r="D453" s="1"/>
      <c r="E453" s="1"/>
    </row>
    <row r="454" spans="4:5" x14ac:dyDescent="0.3">
      <c r="D454" s="1"/>
      <c r="E454" s="1"/>
    </row>
    <row r="455" spans="4:5" x14ac:dyDescent="0.3">
      <c r="D455" s="1"/>
      <c r="E455" s="1"/>
    </row>
    <row r="456" spans="4:5" x14ac:dyDescent="0.3">
      <c r="D456" s="1"/>
      <c r="E456" s="1"/>
    </row>
    <row r="457" spans="4:5" x14ac:dyDescent="0.3">
      <c r="D457" s="1"/>
      <c r="E457" s="1"/>
    </row>
    <row r="458" spans="4:5" x14ac:dyDescent="0.3">
      <c r="D458" s="1"/>
      <c r="E458" s="1"/>
    </row>
    <row r="459" spans="4:5" x14ac:dyDescent="0.3">
      <c r="D459" s="1"/>
      <c r="E459" s="1"/>
    </row>
    <row r="460" spans="4:5" x14ac:dyDescent="0.3">
      <c r="D460" s="1"/>
      <c r="E460" s="1"/>
    </row>
    <row r="461" spans="4:5" x14ac:dyDescent="0.3">
      <c r="D461" s="1"/>
      <c r="E461" s="1"/>
    </row>
    <row r="462" spans="4:5" x14ac:dyDescent="0.3">
      <c r="D462" s="1"/>
      <c r="E462" s="1"/>
    </row>
    <row r="463" spans="4:5" x14ac:dyDescent="0.3">
      <c r="D463" s="1"/>
      <c r="E463" s="1"/>
    </row>
    <row r="464" spans="4:5" x14ac:dyDescent="0.3">
      <c r="D464" s="1"/>
      <c r="E464" s="1"/>
    </row>
    <row r="465" spans="4:5" x14ac:dyDescent="0.3">
      <c r="D465" s="1"/>
      <c r="E465" s="1"/>
    </row>
    <row r="466" spans="4:5" x14ac:dyDescent="0.3">
      <c r="D466" s="1"/>
      <c r="E466" s="1"/>
    </row>
    <row r="467" spans="4:5" x14ac:dyDescent="0.3">
      <c r="D467" s="1"/>
      <c r="E467" s="1"/>
    </row>
    <row r="468" spans="4:5" x14ac:dyDescent="0.3">
      <c r="D468" s="1"/>
      <c r="E468" s="1"/>
    </row>
    <row r="469" spans="4:5" x14ac:dyDescent="0.3">
      <c r="D469" s="1"/>
      <c r="E469" s="1"/>
    </row>
    <row r="470" spans="4:5" x14ac:dyDescent="0.3">
      <c r="D470" s="1"/>
      <c r="E470" s="1"/>
    </row>
    <row r="471" spans="4:5" x14ac:dyDescent="0.3">
      <c r="D471" s="1"/>
      <c r="E471" s="1"/>
    </row>
    <row r="472" spans="4:5" x14ac:dyDescent="0.3">
      <c r="D472" s="1"/>
      <c r="E472" s="1"/>
    </row>
    <row r="473" spans="4:5" x14ac:dyDescent="0.3">
      <c r="D473" s="1"/>
      <c r="E473" s="1"/>
    </row>
    <row r="474" spans="4:5" x14ac:dyDescent="0.3">
      <c r="D474" s="1"/>
      <c r="E474" s="1"/>
    </row>
    <row r="475" spans="4:5" x14ac:dyDescent="0.3">
      <c r="D475" s="1"/>
      <c r="E475" s="1"/>
    </row>
    <row r="476" spans="4:5" x14ac:dyDescent="0.3">
      <c r="D476" s="1"/>
      <c r="E476" s="1"/>
    </row>
    <row r="477" spans="4:5" x14ac:dyDescent="0.3">
      <c r="D477" s="1"/>
      <c r="E477" s="1"/>
    </row>
    <row r="478" spans="4:5" x14ac:dyDescent="0.3">
      <c r="D478" s="1"/>
      <c r="E478" s="1"/>
    </row>
    <row r="479" spans="4:5" x14ac:dyDescent="0.3">
      <c r="D479" s="1"/>
      <c r="E479" s="1"/>
    </row>
    <row r="480" spans="4:5" x14ac:dyDescent="0.3">
      <c r="D480" s="1"/>
      <c r="E480" s="1"/>
    </row>
    <row r="481" spans="4:5" x14ac:dyDescent="0.3">
      <c r="D481" s="1"/>
      <c r="E481" s="1"/>
    </row>
    <row r="482" spans="4:5" x14ac:dyDescent="0.3">
      <c r="D482" s="1"/>
      <c r="E482" s="1"/>
    </row>
    <row r="483" spans="4:5" x14ac:dyDescent="0.3">
      <c r="D483" s="1"/>
      <c r="E483" s="1"/>
    </row>
    <row r="484" spans="4:5" x14ac:dyDescent="0.3">
      <c r="D484" s="1"/>
      <c r="E484" s="1"/>
    </row>
    <row r="485" spans="4:5" x14ac:dyDescent="0.3">
      <c r="D485" s="1"/>
      <c r="E485" s="1"/>
    </row>
    <row r="486" spans="4:5" x14ac:dyDescent="0.3">
      <c r="D486" s="1"/>
      <c r="E486" s="1"/>
    </row>
    <row r="487" spans="4:5" x14ac:dyDescent="0.3">
      <c r="D487" s="1"/>
      <c r="E487" s="1"/>
    </row>
    <row r="488" spans="4:5" x14ac:dyDescent="0.3">
      <c r="D488" s="1"/>
      <c r="E488" s="1"/>
    </row>
    <row r="489" spans="4:5" x14ac:dyDescent="0.3">
      <c r="D489" s="1"/>
      <c r="E489" s="1"/>
    </row>
    <row r="490" spans="4:5" x14ac:dyDescent="0.3">
      <c r="D490" s="1"/>
      <c r="E490" s="1"/>
    </row>
    <row r="491" spans="4:5" x14ac:dyDescent="0.3">
      <c r="D491" s="1"/>
      <c r="E491" s="1"/>
    </row>
    <row r="492" spans="4:5" x14ac:dyDescent="0.3">
      <c r="D492" s="1"/>
      <c r="E492" s="1"/>
    </row>
    <row r="493" spans="4:5" x14ac:dyDescent="0.3">
      <c r="D493" s="1"/>
      <c r="E493" s="1"/>
    </row>
    <row r="494" spans="4:5" x14ac:dyDescent="0.3">
      <c r="D494" s="1"/>
      <c r="E494" s="1"/>
    </row>
    <row r="495" spans="4:5" x14ac:dyDescent="0.3">
      <c r="D495" s="1"/>
      <c r="E495" s="1"/>
    </row>
    <row r="496" spans="4:5" x14ac:dyDescent="0.3">
      <c r="D496" s="1"/>
      <c r="E496" s="1"/>
    </row>
    <row r="497" spans="4:5" x14ac:dyDescent="0.3">
      <c r="D497" s="1"/>
      <c r="E497" s="1"/>
    </row>
    <row r="498" spans="4:5" x14ac:dyDescent="0.3">
      <c r="D498" s="1"/>
      <c r="E498" s="1"/>
    </row>
    <row r="499" spans="4:5" x14ac:dyDescent="0.3">
      <c r="D499" s="1"/>
      <c r="E499" s="1"/>
    </row>
    <row r="500" spans="4:5" x14ac:dyDescent="0.3">
      <c r="D500" s="1"/>
      <c r="E500" s="1"/>
    </row>
    <row r="501" spans="4:5" x14ac:dyDescent="0.3">
      <c r="D501" s="1"/>
      <c r="E501" s="1"/>
    </row>
    <row r="502" spans="4:5" x14ac:dyDescent="0.3">
      <c r="D502" s="1"/>
      <c r="E502" s="1"/>
    </row>
    <row r="503" spans="4:5" x14ac:dyDescent="0.3">
      <c r="D503" s="1"/>
      <c r="E503" s="1"/>
    </row>
    <row r="504" spans="4:5" x14ac:dyDescent="0.3">
      <c r="D504" s="1"/>
      <c r="E504" s="1"/>
    </row>
    <row r="505" spans="4:5" x14ac:dyDescent="0.3">
      <c r="D505" s="1"/>
      <c r="E505" s="1"/>
    </row>
    <row r="506" spans="4:5" x14ac:dyDescent="0.3">
      <c r="D506" s="1"/>
      <c r="E506" s="1"/>
    </row>
    <row r="507" spans="4:5" x14ac:dyDescent="0.3">
      <c r="D507" s="1"/>
      <c r="E507" s="1"/>
    </row>
    <row r="508" spans="4:5" x14ac:dyDescent="0.3">
      <c r="D508" s="1"/>
      <c r="E508" s="1"/>
    </row>
    <row r="509" spans="4:5" x14ac:dyDescent="0.3">
      <c r="D509" s="1"/>
      <c r="E509" s="1"/>
    </row>
    <row r="510" spans="4:5" x14ac:dyDescent="0.3">
      <c r="D510" s="1"/>
      <c r="E510" s="1"/>
    </row>
    <row r="511" spans="4:5" x14ac:dyDescent="0.3">
      <c r="D511" s="1"/>
      <c r="E511" s="1"/>
    </row>
    <row r="512" spans="4:5" x14ac:dyDescent="0.3">
      <c r="D512" s="1"/>
      <c r="E512" s="1"/>
    </row>
    <row r="513" spans="4:5" x14ac:dyDescent="0.3">
      <c r="D513" s="1"/>
      <c r="E513" s="1"/>
    </row>
    <row r="514" spans="4:5" x14ac:dyDescent="0.3">
      <c r="D514" s="1"/>
      <c r="E514" s="1"/>
    </row>
    <row r="515" spans="4:5" x14ac:dyDescent="0.3">
      <c r="D515" s="1"/>
      <c r="E515" s="1"/>
    </row>
    <row r="516" spans="4:5" x14ac:dyDescent="0.3">
      <c r="D516" s="1"/>
      <c r="E516" s="1"/>
    </row>
    <row r="517" spans="4:5" x14ac:dyDescent="0.3">
      <c r="D517" s="1"/>
      <c r="E517" s="1"/>
    </row>
    <row r="518" spans="4:5" x14ac:dyDescent="0.3">
      <c r="D518" s="1"/>
      <c r="E518" s="1"/>
    </row>
    <row r="519" spans="4:5" x14ac:dyDescent="0.3">
      <c r="D519" s="1"/>
      <c r="E519" s="1"/>
    </row>
    <row r="520" spans="4:5" x14ac:dyDescent="0.3">
      <c r="D520" s="1"/>
      <c r="E520" s="1"/>
    </row>
    <row r="521" spans="4:5" x14ac:dyDescent="0.3">
      <c r="D521" s="1"/>
      <c r="E521" s="1"/>
    </row>
    <row r="522" spans="4:5" x14ac:dyDescent="0.3">
      <c r="D522" s="1"/>
      <c r="E522" s="1"/>
    </row>
    <row r="523" spans="4:5" x14ac:dyDescent="0.3">
      <c r="D523" s="1"/>
      <c r="E523" s="1"/>
    </row>
    <row r="524" spans="4:5" x14ac:dyDescent="0.3">
      <c r="D524" s="1"/>
      <c r="E524" s="1"/>
    </row>
    <row r="525" spans="4:5" x14ac:dyDescent="0.3">
      <c r="D525" s="1"/>
      <c r="E525" s="1"/>
    </row>
    <row r="526" spans="4:5" x14ac:dyDescent="0.3">
      <c r="D526" s="1"/>
      <c r="E526" s="1"/>
    </row>
    <row r="527" spans="4:5" x14ac:dyDescent="0.3">
      <c r="D527" s="1"/>
      <c r="E527" s="1"/>
    </row>
    <row r="528" spans="4:5" x14ac:dyDescent="0.3">
      <c r="D528" s="1"/>
      <c r="E528" s="1"/>
    </row>
    <row r="529" spans="4:5" x14ac:dyDescent="0.3">
      <c r="D529" s="1"/>
      <c r="E529" s="1"/>
    </row>
    <row r="530" spans="4:5" x14ac:dyDescent="0.3">
      <c r="D530" s="1"/>
      <c r="E530" s="1"/>
    </row>
    <row r="531" spans="4:5" x14ac:dyDescent="0.3">
      <c r="D531" s="1"/>
      <c r="E531" s="1"/>
    </row>
    <row r="532" spans="4:5" x14ac:dyDescent="0.3">
      <c r="D532" s="1"/>
      <c r="E532" s="1"/>
    </row>
    <row r="533" spans="4:5" x14ac:dyDescent="0.3">
      <c r="D533" s="1"/>
      <c r="E533" s="1"/>
    </row>
    <row r="534" spans="4:5" x14ac:dyDescent="0.3">
      <c r="D534" s="1"/>
      <c r="E534" s="1"/>
    </row>
    <row r="535" spans="4:5" x14ac:dyDescent="0.3">
      <c r="D535" s="1"/>
      <c r="E535" s="1"/>
    </row>
    <row r="536" spans="4:5" x14ac:dyDescent="0.3">
      <c r="D536" s="1"/>
      <c r="E536" s="1"/>
    </row>
    <row r="537" spans="4:5" x14ac:dyDescent="0.3">
      <c r="D537" s="1"/>
      <c r="E537" s="1"/>
    </row>
    <row r="538" spans="4:5" x14ac:dyDescent="0.3">
      <c r="D538" s="1"/>
      <c r="E538" s="1"/>
    </row>
    <row r="539" spans="4:5" x14ac:dyDescent="0.3">
      <c r="D539" s="1"/>
      <c r="E539" s="1"/>
    </row>
    <row r="540" spans="4:5" x14ac:dyDescent="0.3">
      <c r="D540" s="1"/>
      <c r="E540" s="1"/>
    </row>
    <row r="541" spans="4:5" x14ac:dyDescent="0.3">
      <c r="D541" s="1"/>
      <c r="E541" s="1"/>
    </row>
    <row r="542" spans="4:5" x14ac:dyDescent="0.3">
      <c r="D542" s="1"/>
      <c r="E542" s="1"/>
    </row>
    <row r="543" spans="4:5" x14ac:dyDescent="0.3">
      <c r="D543" s="1"/>
      <c r="E543" s="1"/>
    </row>
    <row r="544" spans="4:5" x14ac:dyDescent="0.3">
      <c r="D544" s="1"/>
      <c r="E544" s="1"/>
    </row>
    <row r="545" spans="4:5" x14ac:dyDescent="0.3">
      <c r="D545" s="1"/>
      <c r="E545" s="1"/>
    </row>
    <row r="546" spans="4:5" x14ac:dyDescent="0.3">
      <c r="D546" s="1"/>
      <c r="E546" s="1"/>
    </row>
    <row r="547" spans="4:5" x14ac:dyDescent="0.3">
      <c r="D547" s="1"/>
      <c r="E547" s="1"/>
    </row>
    <row r="548" spans="4:5" x14ac:dyDescent="0.3">
      <c r="D548" s="1"/>
      <c r="E548" s="1"/>
    </row>
    <row r="549" spans="4:5" x14ac:dyDescent="0.3">
      <c r="D549" s="1"/>
      <c r="E549" s="1"/>
    </row>
    <row r="550" spans="4:5" x14ac:dyDescent="0.3">
      <c r="D550" s="1"/>
      <c r="E550" s="1"/>
    </row>
    <row r="551" spans="4:5" x14ac:dyDescent="0.3">
      <c r="D551" s="1"/>
      <c r="E551" s="1"/>
    </row>
    <row r="552" spans="4:5" x14ac:dyDescent="0.3">
      <c r="D552" s="1"/>
      <c r="E552" s="1"/>
    </row>
    <row r="553" spans="4:5" x14ac:dyDescent="0.3">
      <c r="D553" s="1"/>
      <c r="E553" s="1"/>
    </row>
    <row r="554" spans="4:5" x14ac:dyDescent="0.3">
      <c r="D554" s="1"/>
      <c r="E554" s="1"/>
    </row>
    <row r="555" spans="4:5" x14ac:dyDescent="0.3">
      <c r="D555" s="1"/>
      <c r="E555" s="1"/>
    </row>
    <row r="556" spans="4:5" x14ac:dyDescent="0.3">
      <c r="D556" s="1"/>
      <c r="E556" s="1"/>
    </row>
    <row r="557" spans="4:5" x14ac:dyDescent="0.3">
      <c r="D557" s="1"/>
      <c r="E557" s="1"/>
    </row>
    <row r="558" spans="4:5" x14ac:dyDescent="0.3">
      <c r="D558" s="1"/>
      <c r="E558" s="1"/>
    </row>
    <row r="559" spans="4:5" x14ac:dyDescent="0.3">
      <c r="D559" s="1"/>
      <c r="E559" s="1"/>
    </row>
    <row r="560" spans="4:5" x14ac:dyDescent="0.3">
      <c r="D560" s="1"/>
      <c r="E560" s="1"/>
    </row>
    <row r="561" spans="4:5" x14ac:dyDescent="0.3">
      <c r="D561" s="1"/>
      <c r="E561" s="1"/>
    </row>
    <row r="562" spans="4:5" x14ac:dyDescent="0.3">
      <c r="D562" s="1"/>
      <c r="E562" s="1"/>
    </row>
    <row r="563" spans="4:5" x14ac:dyDescent="0.3">
      <c r="D563" s="1"/>
      <c r="E563" s="1"/>
    </row>
    <row r="564" spans="4:5" x14ac:dyDescent="0.3">
      <c r="D564" s="1"/>
      <c r="E564" s="1"/>
    </row>
    <row r="565" spans="4:5" x14ac:dyDescent="0.3">
      <c r="D565" s="1"/>
      <c r="E565" s="1"/>
    </row>
    <row r="566" spans="4:5" x14ac:dyDescent="0.3">
      <c r="D566" s="1"/>
      <c r="E566" s="1"/>
    </row>
    <row r="567" spans="4:5" x14ac:dyDescent="0.3">
      <c r="D567" s="1"/>
      <c r="E567" s="1"/>
    </row>
    <row r="568" spans="4:5" x14ac:dyDescent="0.3">
      <c r="D568" s="1"/>
      <c r="E568" s="1"/>
    </row>
    <row r="569" spans="4:5" x14ac:dyDescent="0.3">
      <c r="D569" s="1"/>
      <c r="E569" s="1"/>
    </row>
    <row r="570" spans="4:5" x14ac:dyDescent="0.3">
      <c r="D570" s="1"/>
      <c r="E570" s="1"/>
    </row>
    <row r="571" spans="4:5" x14ac:dyDescent="0.3">
      <c r="D571" s="1"/>
      <c r="E571" s="1"/>
    </row>
    <row r="572" spans="4:5" x14ac:dyDescent="0.3">
      <c r="D572" s="1"/>
      <c r="E572" s="1"/>
    </row>
    <row r="573" spans="4:5" x14ac:dyDescent="0.3">
      <c r="D573" s="1"/>
      <c r="E573" s="1"/>
    </row>
    <row r="574" spans="4:5" x14ac:dyDescent="0.3">
      <c r="D574" s="1"/>
      <c r="E574" s="1"/>
    </row>
    <row r="575" spans="4:5" x14ac:dyDescent="0.3">
      <c r="D575" s="1"/>
      <c r="E575" s="1"/>
    </row>
    <row r="576" spans="4:5" x14ac:dyDescent="0.3">
      <c r="D576" s="1"/>
      <c r="E576" s="1"/>
    </row>
    <row r="577" spans="4:5" x14ac:dyDescent="0.3">
      <c r="D577" s="1"/>
      <c r="E577" s="1"/>
    </row>
    <row r="578" spans="4:5" x14ac:dyDescent="0.3">
      <c r="D578" s="1"/>
      <c r="E578" s="1"/>
    </row>
    <row r="579" spans="4:5" x14ac:dyDescent="0.3">
      <c r="D579" s="1"/>
      <c r="E579" s="1"/>
    </row>
    <row r="580" spans="4:5" x14ac:dyDescent="0.3">
      <c r="D580" s="1"/>
      <c r="E580" s="1"/>
    </row>
    <row r="581" spans="4:5" x14ac:dyDescent="0.3">
      <c r="D581" s="1"/>
      <c r="E581" s="1"/>
    </row>
    <row r="582" spans="4:5" x14ac:dyDescent="0.3">
      <c r="D582" s="1"/>
      <c r="E582" s="1"/>
    </row>
    <row r="583" spans="4:5" x14ac:dyDescent="0.3">
      <c r="D583" s="1"/>
      <c r="E583" s="1"/>
    </row>
    <row r="584" spans="4:5" x14ac:dyDescent="0.3">
      <c r="D584" s="1"/>
      <c r="E584" s="1"/>
    </row>
    <row r="585" spans="4:5" x14ac:dyDescent="0.3">
      <c r="D585" s="1"/>
      <c r="E585" s="1"/>
    </row>
    <row r="586" spans="4:5" x14ac:dyDescent="0.3">
      <c r="D586" s="1"/>
      <c r="E586" s="1"/>
    </row>
    <row r="587" spans="4:5" x14ac:dyDescent="0.3">
      <c r="D587" s="1"/>
      <c r="E587" s="1"/>
    </row>
    <row r="588" spans="4:5" x14ac:dyDescent="0.3">
      <c r="D588" s="1"/>
      <c r="E588" s="1"/>
    </row>
    <row r="589" spans="4:5" x14ac:dyDescent="0.3">
      <c r="D589" s="1"/>
      <c r="E589" s="1"/>
    </row>
    <row r="590" spans="4:5" x14ac:dyDescent="0.3">
      <c r="D590" s="1"/>
      <c r="E590" s="1"/>
    </row>
    <row r="591" spans="4:5" x14ac:dyDescent="0.3">
      <c r="D591" s="1"/>
      <c r="E591" s="1"/>
    </row>
    <row r="592" spans="4:5" x14ac:dyDescent="0.3">
      <c r="D592" s="1"/>
      <c r="E592" s="1"/>
    </row>
    <row r="593" spans="4:5" x14ac:dyDescent="0.3">
      <c r="D593" s="1"/>
      <c r="E593" s="1"/>
    </row>
    <row r="594" spans="4:5" x14ac:dyDescent="0.3">
      <c r="D594" s="1"/>
      <c r="E594" s="1"/>
    </row>
    <row r="595" spans="4:5" x14ac:dyDescent="0.3">
      <c r="D595" s="1"/>
      <c r="E595" s="1"/>
    </row>
    <row r="596" spans="4:5" x14ac:dyDescent="0.3">
      <c r="D596" s="1"/>
      <c r="E596" s="1"/>
    </row>
    <row r="597" spans="4:5" x14ac:dyDescent="0.3">
      <c r="D597" s="1"/>
      <c r="E597" s="1"/>
    </row>
    <row r="598" spans="4:5" x14ac:dyDescent="0.3">
      <c r="D598" s="1"/>
      <c r="E598" s="1"/>
    </row>
    <row r="599" spans="4:5" x14ac:dyDescent="0.3">
      <c r="D599" s="1"/>
      <c r="E599" s="1"/>
    </row>
    <row r="600" spans="4:5" x14ac:dyDescent="0.3">
      <c r="D600" s="1"/>
      <c r="E600" s="1"/>
    </row>
    <row r="601" spans="4:5" x14ac:dyDescent="0.3">
      <c r="D601" s="1"/>
      <c r="E601" s="1"/>
    </row>
    <row r="602" spans="4:5" x14ac:dyDescent="0.3">
      <c r="D602" s="1"/>
      <c r="E602" s="1"/>
    </row>
    <row r="603" spans="4:5" x14ac:dyDescent="0.3">
      <c r="D603" s="1"/>
      <c r="E603" s="1"/>
    </row>
    <row r="604" spans="4:5" x14ac:dyDescent="0.3">
      <c r="D604" s="1"/>
      <c r="E604" s="1"/>
    </row>
    <row r="605" spans="4:5" x14ac:dyDescent="0.3">
      <c r="D605" s="1"/>
      <c r="E605" s="1"/>
    </row>
    <row r="606" spans="4:5" x14ac:dyDescent="0.3">
      <c r="D606" s="1"/>
      <c r="E606" s="1"/>
    </row>
    <row r="607" spans="4:5" x14ac:dyDescent="0.3">
      <c r="D607" s="1"/>
      <c r="E607" s="1"/>
    </row>
    <row r="608" spans="4:5" x14ac:dyDescent="0.3">
      <c r="D608" s="1"/>
      <c r="E608" s="1"/>
    </row>
    <row r="609" spans="4:5" x14ac:dyDescent="0.3">
      <c r="D609" s="1"/>
      <c r="E609" s="1"/>
    </row>
    <row r="610" spans="4:5" x14ac:dyDescent="0.3">
      <c r="D610" s="1"/>
      <c r="E610" s="1"/>
    </row>
    <row r="611" spans="4:5" x14ac:dyDescent="0.3">
      <c r="D611" s="1"/>
      <c r="E611" s="1"/>
    </row>
    <row r="612" spans="4:5" x14ac:dyDescent="0.3">
      <c r="D612" s="1"/>
      <c r="E612" s="1"/>
    </row>
    <row r="613" spans="4:5" x14ac:dyDescent="0.3">
      <c r="D613" s="1"/>
      <c r="E613" s="1"/>
    </row>
    <row r="614" spans="4:5" x14ac:dyDescent="0.3">
      <c r="D614" s="1"/>
      <c r="E614" s="1"/>
    </row>
    <row r="615" spans="4:5" x14ac:dyDescent="0.3">
      <c r="D615" s="1"/>
      <c r="E615" s="1"/>
    </row>
    <row r="616" spans="4:5" x14ac:dyDescent="0.3">
      <c r="D616" s="1"/>
      <c r="E616" s="1"/>
    </row>
    <row r="617" spans="4:5" x14ac:dyDescent="0.3">
      <c r="D617" s="1"/>
      <c r="E617" s="1"/>
    </row>
    <row r="618" spans="4:5" x14ac:dyDescent="0.3">
      <c r="D618" s="1"/>
      <c r="E618" s="1"/>
    </row>
    <row r="619" spans="4:5" x14ac:dyDescent="0.3">
      <c r="D619" s="1"/>
      <c r="E619" s="1"/>
    </row>
    <row r="620" spans="4:5" x14ac:dyDescent="0.3">
      <c r="D620" s="1"/>
      <c r="E620" s="1"/>
    </row>
    <row r="621" spans="4:5" x14ac:dyDescent="0.3">
      <c r="D621" s="1"/>
      <c r="E621" s="1"/>
    </row>
    <row r="622" spans="4:5" x14ac:dyDescent="0.3">
      <c r="D622" s="1"/>
      <c r="E622" s="1"/>
    </row>
    <row r="623" spans="4:5" x14ac:dyDescent="0.3">
      <c r="D623" s="1"/>
      <c r="E623" s="1"/>
    </row>
    <row r="624" spans="4:5" x14ac:dyDescent="0.3">
      <c r="D624" s="1"/>
      <c r="E624" s="1"/>
    </row>
    <row r="625" spans="4:5" x14ac:dyDescent="0.3">
      <c r="D625" s="1"/>
      <c r="E625" s="1"/>
    </row>
    <row r="626" spans="4:5" x14ac:dyDescent="0.3">
      <c r="D626" s="1"/>
      <c r="E626" s="1"/>
    </row>
    <row r="627" spans="4:5" x14ac:dyDescent="0.3">
      <c r="D627" s="1"/>
      <c r="E627" s="1"/>
    </row>
    <row r="628" spans="4:5" x14ac:dyDescent="0.3">
      <c r="D628" s="1"/>
      <c r="E628" s="1"/>
    </row>
    <row r="629" spans="4:5" x14ac:dyDescent="0.3">
      <c r="D629" s="1"/>
      <c r="E629" s="1"/>
    </row>
    <row r="630" spans="4:5" x14ac:dyDescent="0.3">
      <c r="D630" s="1"/>
      <c r="E630" s="1"/>
    </row>
    <row r="631" spans="4:5" x14ac:dyDescent="0.3">
      <c r="D631" s="1"/>
      <c r="E631" s="1"/>
    </row>
    <row r="632" spans="4:5" x14ac:dyDescent="0.3">
      <c r="D632" s="1"/>
      <c r="E632" s="1"/>
    </row>
    <row r="633" spans="4:5" x14ac:dyDescent="0.3">
      <c r="D633" s="1"/>
      <c r="E633" s="1"/>
    </row>
    <row r="634" spans="4:5" x14ac:dyDescent="0.3">
      <c r="D634" s="1"/>
      <c r="E634" s="1"/>
    </row>
    <row r="635" spans="4:5" x14ac:dyDescent="0.3">
      <c r="D635" s="1"/>
      <c r="E635" s="1"/>
    </row>
    <row r="636" spans="4:5" x14ac:dyDescent="0.3">
      <c r="D636" s="1"/>
      <c r="E636" s="1"/>
    </row>
    <row r="637" spans="4:5" x14ac:dyDescent="0.3">
      <c r="D637" s="1"/>
      <c r="E637" s="1"/>
    </row>
    <row r="638" spans="4:5" x14ac:dyDescent="0.3">
      <c r="D638" s="1"/>
      <c r="E638" s="1"/>
    </row>
    <row r="639" spans="4:5" x14ac:dyDescent="0.3">
      <c r="D639" s="1"/>
      <c r="E639" s="1"/>
    </row>
    <row r="640" spans="4:5" x14ac:dyDescent="0.3">
      <c r="D640" s="1"/>
      <c r="E640" s="1"/>
    </row>
    <row r="641" spans="4:5" x14ac:dyDescent="0.3">
      <c r="D641" s="1"/>
      <c r="E641" s="1"/>
    </row>
    <row r="642" spans="4:5" x14ac:dyDescent="0.3">
      <c r="D642" s="1"/>
      <c r="E642" s="1"/>
    </row>
    <row r="643" spans="4:5" x14ac:dyDescent="0.3">
      <c r="D643" s="1"/>
      <c r="E643" s="1"/>
    </row>
    <row r="644" spans="4:5" x14ac:dyDescent="0.3">
      <c r="D644" s="1"/>
      <c r="E644" s="1"/>
    </row>
    <row r="645" spans="4:5" x14ac:dyDescent="0.3">
      <c r="D645" s="1"/>
      <c r="E645" s="1"/>
    </row>
    <row r="646" spans="4:5" x14ac:dyDescent="0.3">
      <c r="D646" s="1"/>
      <c r="E646" s="1"/>
    </row>
    <row r="647" spans="4:5" x14ac:dyDescent="0.3">
      <c r="D647" s="1"/>
      <c r="E647" s="1"/>
    </row>
    <row r="648" spans="4:5" x14ac:dyDescent="0.3">
      <c r="D648" s="1"/>
      <c r="E648" s="1"/>
    </row>
    <row r="649" spans="4:5" x14ac:dyDescent="0.3">
      <c r="D649" s="1"/>
      <c r="E649" s="1"/>
    </row>
    <row r="650" spans="4:5" x14ac:dyDescent="0.3">
      <c r="D650" s="1"/>
      <c r="E650" s="1"/>
    </row>
    <row r="651" spans="4:5" x14ac:dyDescent="0.3">
      <c r="D651" s="1"/>
      <c r="E651" s="1"/>
    </row>
    <row r="652" spans="4:5" x14ac:dyDescent="0.3">
      <c r="D652" s="1"/>
      <c r="E652" s="1"/>
    </row>
    <row r="653" spans="4:5" x14ac:dyDescent="0.3">
      <c r="D653" s="1"/>
      <c r="E653" s="1"/>
    </row>
    <row r="654" spans="4:5" x14ac:dyDescent="0.3">
      <c r="D654" s="1"/>
      <c r="E654" s="1"/>
    </row>
    <row r="655" spans="4:5" x14ac:dyDescent="0.3">
      <c r="D655" s="1"/>
      <c r="E655" s="1"/>
    </row>
    <row r="656" spans="4:5" x14ac:dyDescent="0.3">
      <c r="D656" s="1"/>
      <c r="E656" s="1"/>
    </row>
    <row r="657" spans="4:5" x14ac:dyDescent="0.3">
      <c r="D657" s="1"/>
      <c r="E657" s="1"/>
    </row>
    <row r="658" spans="4:5" x14ac:dyDescent="0.3">
      <c r="D658" s="1"/>
      <c r="E658" s="1"/>
    </row>
    <row r="659" spans="4:5" x14ac:dyDescent="0.3">
      <c r="D659" s="1"/>
      <c r="E659" s="1"/>
    </row>
    <row r="660" spans="4:5" x14ac:dyDescent="0.3">
      <c r="D660" s="1"/>
      <c r="E660" s="1"/>
    </row>
    <row r="661" spans="4:5" x14ac:dyDescent="0.3">
      <c r="D661" s="1"/>
      <c r="E661" s="1"/>
    </row>
    <row r="662" spans="4:5" x14ac:dyDescent="0.3">
      <c r="D662" s="1"/>
      <c r="E662" s="1"/>
    </row>
    <row r="663" spans="4:5" x14ac:dyDescent="0.3">
      <c r="D663" s="1"/>
      <c r="E663" s="1"/>
    </row>
    <row r="664" spans="4:5" x14ac:dyDescent="0.3">
      <c r="D664" s="1"/>
      <c r="E664" s="1"/>
    </row>
    <row r="665" spans="4:5" x14ac:dyDescent="0.3">
      <c r="D665" s="1"/>
      <c r="E665" s="1"/>
    </row>
    <row r="666" spans="4:5" x14ac:dyDescent="0.3">
      <c r="D666" s="1"/>
      <c r="E666" s="1"/>
    </row>
    <row r="667" spans="4:5" x14ac:dyDescent="0.3">
      <c r="D667" s="1"/>
      <c r="E667" s="1"/>
    </row>
    <row r="668" spans="4:5" x14ac:dyDescent="0.3">
      <c r="D668" s="1"/>
      <c r="E668" s="1"/>
    </row>
    <row r="669" spans="4:5" x14ac:dyDescent="0.3">
      <c r="D669" s="1"/>
      <c r="E669" s="1"/>
    </row>
    <row r="670" spans="4:5" x14ac:dyDescent="0.3">
      <c r="D670" s="1"/>
      <c r="E670" s="1"/>
    </row>
    <row r="671" spans="4:5" x14ac:dyDescent="0.3">
      <c r="D671" s="1"/>
      <c r="E671" s="1"/>
    </row>
    <row r="672" spans="4:5" x14ac:dyDescent="0.3">
      <c r="D672" s="1"/>
      <c r="E672" s="1"/>
    </row>
    <row r="673" spans="4:5" x14ac:dyDescent="0.3">
      <c r="D673" s="1"/>
      <c r="E673" s="1"/>
    </row>
    <row r="674" spans="4:5" x14ac:dyDescent="0.3">
      <c r="D674" s="1"/>
      <c r="E674" s="1"/>
    </row>
    <row r="675" spans="4:5" x14ac:dyDescent="0.3">
      <c r="D675" s="1"/>
      <c r="E675" s="1"/>
    </row>
    <row r="676" spans="4:5" x14ac:dyDescent="0.3">
      <c r="D676" s="1"/>
      <c r="E676" s="1"/>
    </row>
    <row r="677" spans="4:5" x14ac:dyDescent="0.3">
      <c r="D677" s="1"/>
      <c r="E677" s="1"/>
    </row>
    <row r="678" spans="4:5" x14ac:dyDescent="0.3">
      <c r="D678" s="1"/>
      <c r="E678" s="1"/>
    </row>
    <row r="679" spans="4:5" x14ac:dyDescent="0.3">
      <c r="D679" s="1"/>
      <c r="E679" s="1"/>
    </row>
    <row r="680" spans="4:5" x14ac:dyDescent="0.3">
      <c r="D680" s="1"/>
      <c r="E680" s="1"/>
    </row>
    <row r="681" spans="4:5" x14ac:dyDescent="0.3">
      <c r="D681" s="1"/>
      <c r="E681" s="1"/>
    </row>
    <row r="682" spans="4:5" x14ac:dyDescent="0.3">
      <c r="D682" s="1"/>
      <c r="E682" s="1"/>
    </row>
    <row r="683" spans="4:5" x14ac:dyDescent="0.3">
      <c r="D683" s="1"/>
      <c r="E683" s="1"/>
    </row>
    <row r="684" spans="4:5" x14ac:dyDescent="0.3">
      <c r="D684" s="1"/>
      <c r="E684" s="1"/>
    </row>
    <row r="685" spans="4:5" x14ac:dyDescent="0.3">
      <c r="D685" s="1"/>
      <c r="E685" s="1"/>
    </row>
    <row r="686" spans="4:5" x14ac:dyDescent="0.3">
      <c r="D686" s="1"/>
      <c r="E686" s="1"/>
    </row>
    <row r="687" spans="4:5" x14ac:dyDescent="0.3">
      <c r="D687" s="1"/>
      <c r="E687" s="1"/>
    </row>
    <row r="688" spans="4:5" x14ac:dyDescent="0.3">
      <c r="D688" s="1"/>
      <c r="E688" s="1"/>
    </row>
    <row r="689" spans="4:5" x14ac:dyDescent="0.3">
      <c r="D689" s="1"/>
      <c r="E689" s="1"/>
    </row>
    <row r="690" spans="4:5" x14ac:dyDescent="0.3">
      <c r="D690" s="1"/>
      <c r="E690" s="1"/>
    </row>
    <row r="691" spans="4:5" x14ac:dyDescent="0.3">
      <c r="D691" s="1"/>
      <c r="E691" s="1"/>
    </row>
    <row r="692" spans="4:5" x14ac:dyDescent="0.3">
      <c r="D692" s="1"/>
      <c r="E692" s="1"/>
    </row>
    <row r="693" spans="4:5" x14ac:dyDescent="0.3">
      <c r="D693" s="1"/>
      <c r="E693" s="1"/>
    </row>
    <row r="694" spans="4:5" x14ac:dyDescent="0.3">
      <c r="D694" s="1"/>
      <c r="E694" s="1"/>
    </row>
    <row r="695" spans="4:5" x14ac:dyDescent="0.3">
      <c r="D695" s="1"/>
      <c r="E695" s="1"/>
    </row>
    <row r="696" spans="4:5" x14ac:dyDescent="0.3">
      <c r="D696" s="1"/>
      <c r="E696" s="1"/>
    </row>
    <row r="697" spans="4:5" x14ac:dyDescent="0.3">
      <c r="D697" s="1"/>
      <c r="E697" s="1"/>
    </row>
    <row r="698" spans="4:5" x14ac:dyDescent="0.3">
      <c r="D698" s="1"/>
      <c r="E698" s="1"/>
    </row>
    <row r="699" spans="4:5" x14ac:dyDescent="0.3">
      <c r="D699" s="1"/>
      <c r="E699" s="1"/>
    </row>
    <row r="700" spans="4:5" x14ac:dyDescent="0.3">
      <c r="D700" s="1"/>
      <c r="E700" s="1"/>
    </row>
    <row r="701" spans="4:5" x14ac:dyDescent="0.3">
      <c r="D701" s="1"/>
      <c r="E701" s="1"/>
    </row>
    <row r="702" spans="4:5" x14ac:dyDescent="0.3">
      <c r="D702" s="1"/>
      <c r="E702" s="1"/>
    </row>
    <row r="703" spans="4:5" x14ac:dyDescent="0.3">
      <c r="D703" s="1"/>
      <c r="E703" s="1"/>
    </row>
    <row r="704" spans="4:5" x14ac:dyDescent="0.3">
      <c r="D704" s="1"/>
      <c r="E704" s="1"/>
    </row>
    <row r="705" spans="4:5" x14ac:dyDescent="0.3">
      <c r="D705" s="1"/>
      <c r="E705" s="1"/>
    </row>
    <row r="706" spans="4:5" x14ac:dyDescent="0.3">
      <c r="D706" s="1"/>
      <c r="E706" s="1"/>
    </row>
    <row r="707" spans="4:5" x14ac:dyDescent="0.3">
      <c r="D707" s="1"/>
      <c r="E707" s="1"/>
    </row>
    <row r="708" spans="4:5" x14ac:dyDescent="0.3">
      <c r="D708" s="1"/>
      <c r="E708" s="1"/>
    </row>
    <row r="709" spans="4:5" x14ac:dyDescent="0.3">
      <c r="D709" s="1"/>
      <c r="E709" s="1"/>
    </row>
    <row r="710" spans="4:5" x14ac:dyDescent="0.3">
      <c r="D710" s="1"/>
      <c r="E710" s="1"/>
    </row>
    <row r="711" spans="4:5" x14ac:dyDescent="0.3">
      <c r="D711" s="1"/>
      <c r="E711" s="1"/>
    </row>
    <row r="712" spans="4:5" x14ac:dyDescent="0.3">
      <c r="D712" s="1"/>
      <c r="E712" s="1"/>
    </row>
    <row r="713" spans="4:5" x14ac:dyDescent="0.3">
      <c r="D713" s="1"/>
      <c r="E713" s="1"/>
    </row>
    <row r="714" spans="4:5" x14ac:dyDescent="0.3">
      <c r="D714" s="1"/>
      <c r="E714" s="1"/>
    </row>
    <row r="715" spans="4:5" x14ac:dyDescent="0.3">
      <c r="D715" s="1"/>
      <c r="E715" s="1"/>
    </row>
    <row r="716" spans="4:5" x14ac:dyDescent="0.3">
      <c r="D716" s="1"/>
      <c r="E716" s="1"/>
    </row>
    <row r="717" spans="4:5" x14ac:dyDescent="0.3">
      <c r="D717" s="1"/>
      <c r="E717" s="1"/>
    </row>
    <row r="718" spans="4:5" x14ac:dyDescent="0.3">
      <c r="D718" s="1"/>
      <c r="E718" s="1"/>
    </row>
    <row r="719" spans="4:5" x14ac:dyDescent="0.3">
      <c r="D719" s="1"/>
      <c r="E719" s="1"/>
    </row>
    <row r="720" spans="4:5" x14ac:dyDescent="0.3">
      <c r="D720" s="1"/>
      <c r="E720" s="1"/>
    </row>
    <row r="721" spans="4:5" x14ac:dyDescent="0.3">
      <c r="D721" s="1"/>
      <c r="E721" s="1"/>
    </row>
    <row r="722" spans="4:5" x14ac:dyDescent="0.3">
      <c r="D722" s="1"/>
      <c r="E722" s="1"/>
    </row>
    <row r="723" spans="4:5" x14ac:dyDescent="0.3">
      <c r="D723" s="1"/>
      <c r="E723" s="1"/>
    </row>
    <row r="724" spans="4:5" x14ac:dyDescent="0.3">
      <c r="D724" s="1"/>
      <c r="E724" s="1"/>
    </row>
    <row r="725" spans="4:5" x14ac:dyDescent="0.3">
      <c r="D725" s="1"/>
      <c r="E725" s="1"/>
    </row>
    <row r="726" spans="4:5" x14ac:dyDescent="0.3">
      <c r="D726" s="1"/>
      <c r="E726" s="1"/>
    </row>
    <row r="727" spans="4:5" x14ac:dyDescent="0.3">
      <c r="D727" s="1"/>
      <c r="E727" s="1"/>
    </row>
    <row r="728" spans="4:5" x14ac:dyDescent="0.3">
      <c r="D728" s="1"/>
      <c r="E728" s="1"/>
    </row>
    <row r="729" spans="4:5" x14ac:dyDescent="0.3">
      <c r="D729" s="1"/>
      <c r="E729" s="1"/>
    </row>
    <row r="730" spans="4:5" x14ac:dyDescent="0.3">
      <c r="D730" s="1"/>
      <c r="E730" s="1"/>
    </row>
    <row r="731" spans="4:5" x14ac:dyDescent="0.3">
      <c r="D731" s="1"/>
      <c r="E731" s="1"/>
    </row>
    <row r="732" spans="4:5" x14ac:dyDescent="0.3">
      <c r="D732" s="1"/>
      <c r="E732" s="1"/>
    </row>
    <row r="733" spans="4:5" x14ac:dyDescent="0.3">
      <c r="D733" s="1"/>
      <c r="E733" s="1"/>
    </row>
    <row r="734" spans="4:5" x14ac:dyDescent="0.3">
      <c r="D734" s="1"/>
      <c r="E734" s="1"/>
    </row>
    <row r="735" spans="4:5" x14ac:dyDescent="0.3">
      <c r="D735" s="1"/>
      <c r="E735" s="1"/>
    </row>
    <row r="736" spans="4:5" x14ac:dyDescent="0.3">
      <c r="D736" s="1"/>
      <c r="E736" s="1"/>
    </row>
    <row r="737" spans="4:5" x14ac:dyDescent="0.3">
      <c r="D737" s="1"/>
      <c r="E737" s="1"/>
    </row>
    <row r="738" spans="4:5" x14ac:dyDescent="0.3">
      <c r="D738" s="1"/>
      <c r="E738" s="1"/>
    </row>
    <row r="739" spans="4:5" x14ac:dyDescent="0.3">
      <c r="D739" s="1"/>
      <c r="E739" s="1"/>
    </row>
    <row r="740" spans="4:5" x14ac:dyDescent="0.3">
      <c r="D740" s="1"/>
      <c r="E740" s="1"/>
    </row>
    <row r="741" spans="4:5" x14ac:dyDescent="0.3">
      <c r="D741" s="1"/>
      <c r="E741" s="1"/>
    </row>
    <row r="742" spans="4:5" x14ac:dyDescent="0.3">
      <c r="D742" s="1"/>
      <c r="E742" s="1"/>
    </row>
    <row r="743" spans="4:5" x14ac:dyDescent="0.3">
      <c r="D743" s="1"/>
      <c r="E743" s="1"/>
    </row>
    <row r="744" spans="4:5" x14ac:dyDescent="0.3">
      <c r="D744" s="1"/>
      <c r="E744" s="1"/>
    </row>
    <row r="745" spans="4:5" x14ac:dyDescent="0.3">
      <c r="D745" s="1"/>
      <c r="E745" s="1"/>
    </row>
    <row r="746" spans="4:5" x14ac:dyDescent="0.3">
      <c r="D746" s="1"/>
      <c r="E746" s="1"/>
    </row>
    <row r="747" spans="4:5" x14ac:dyDescent="0.3">
      <c r="D747" s="1"/>
      <c r="E747" s="1"/>
    </row>
    <row r="748" spans="4:5" x14ac:dyDescent="0.3">
      <c r="D748" s="1"/>
      <c r="E748" s="1"/>
    </row>
    <row r="749" spans="4:5" x14ac:dyDescent="0.3">
      <c r="D749" s="1"/>
      <c r="E749" s="1"/>
    </row>
    <row r="750" spans="4:5" x14ac:dyDescent="0.3">
      <c r="D750" s="1"/>
      <c r="E750" s="1"/>
    </row>
    <row r="751" spans="4:5" x14ac:dyDescent="0.3">
      <c r="D751" s="1"/>
      <c r="E751" s="1"/>
    </row>
    <row r="752" spans="4:5" x14ac:dyDescent="0.3">
      <c r="D752" s="1"/>
      <c r="E752" s="1"/>
    </row>
    <row r="753" spans="4:5" x14ac:dyDescent="0.3">
      <c r="D753" s="1"/>
      <c r="E753" s="1"/>
    </row>
    <row r="754" spans="4:5" x14ac:dyDescent="0.3">
      <c r="D754" s="1"/>
      <c r="E754" s="1"/>
    </row>
    <row r="755" spans="4:5" x14ac:dyDescent="0.3">
      <c r="D755" s="1"/>
      <c r="E755" s="1"/>
    </row>
    <row r="756" spans="4:5" x14ac:dyDescent="0.3">
      <c r="D756" s="1"/>
      <c r="E756" s="1"/>
    </row>
    <row r="757" spans="4:5" x14ac:dyDescent="0.3">
      <c r="D757" s="1"/>
      <c r="E757" s="1"/>
    </row>
    <row r="758" spans="4:5" x14ac:dyDescent="0.3">
      <c r="D758" s="1"/>
      <c r="E758" s="1"/>
    </row>
    <row r="759" spans="4:5" x14ac:dyDescent="0.3">
      <c r="D759" s="1"/>
      <c r="E759" s="1"/>
    </row>
    <row r="760" spans="4:5" x14ac:dyDescent="0.3">
      <c r="D760" s="1"/>
      <c r="E760" s="1"/>
    </row>
    <row r="761" spans="4:5" x14ac:dyDescent="0.3">
      <c r="D761" s="1"/>
      <c r="E761" s="1"/>
    </row>
    <row r="762" spans="4:5" x14ac:dyDescent="0.3">
      <c r="D762" s="1"/>
      <c r="E762" s="1"/>
    </row>
    <row r="763" spans="4:5" x14ac:dyDescent="0.3">
      <c r="D763" s="1"/>
      <c r="E763" s="1"/>
    </row>
    <row r="764" spans="4:5" x14ac:dyDescent="0.3">
      <c r="D764" s="1"/>
      <c r="E764" s="1"/>
    </row>
    <row r="765" spans="4:5" x14ac:dyDescent="0.3">
      <c r="D765" s="1"/>
      <c r="E765" s="1"/>
    </row>
    <row r="766" spans="4:5" x14ac:dyDescent="0.3">
      <c r="D766" s="1"/>
      <c r="E766" s="1"/>
    </row>
    <row r="767" spans="4:5" x14ac:dyDescent="0.3">
      <c r="D767" s="1"/>
      <c r="E767" s="1"/>
    </row>
    <row r="768" spans="4:5" x14ac:dyDescent="0.3">
      <c r="D768" s="1"/>
      <c r="E768" s="1"/>
    </row>
    <row r="769" spans="4:5" x14ac:dyDescent="0.3">
      <c r="D769" s="1"/>
      <c r="E769" s="1"/>
    </row>
    <row r="770" spans="4:5" x14ac:dyDescent="0.3">
      <c r="D770" s="1"/>
      <c r="E770" s="1"/>
    </row>
    <row r="771" spans="4:5" x14ac:dyDescent="0.3">
      <c r="D771" s="1"/>
      <c r="E771" s="1"/>
    </row>
    <row r="772" spans="4:5" x14ac:dyDescent="0.3">
      <c r="D772" s="1"/>
      <c r="E772" s="1"/>
    </row>
    <row r="773" spans="4:5" x14ac:dyDescent="0.3">
      <c r="D773" s="1"/>
      <c r="E773" s="1"/>
    </row>
    <row r="774" spans="4:5" x14ac:dyDescent="0.3">
      <c r="D774" s="1"/>
      <c r="E774" s="1"/>
    </row>
    <row r="775" spans="4:5" x14ac:dyDescent="0.3">
      <c r="D775" s="1"/>
      <c r="E775" s="1"/>
    </row>
    <row r="776" spans="4:5" x14ac:dyDescent="0.3">
      <c r="D776" s="1"/>
      <c r="E776" s="1"/>
    </row>
    <row r="777" spans="4:5" x14ac:dyDescent="0.3">
      <c r="D777" s="1"/>
      <c r="E777" s="1"/>
    </row>
    <row r="778" spans="4:5" x14ac:dyDescent="0.3">
      <c r="D778" s="1"/>
      <c r="E778" s="1"/>
    </row>
    <row r="779" spans="4:5" x14ac:dyDescent="0.3">
      <c r="D779" s="1"/>
      <c r="E779" s="1"/>
    </row>
    <row r="780" spans="4:5" x14ac:dyDescent="0.3">
      <c r="D780" s="1"/>
      <c r="E780" s="1"/>
    </row>
    <row r="781" spans="4:5" x14ac:dyDescent="0.3">
      <c r="D781" s="1"/>
      <c r="E781" s="1"/>
    </row>
    <row r="782" spans="4:5" x14ac:dyDescent="0.3">
      <c r="D782" s="1"/>
      <c r="E782" s="1"/>
    </row>
    <row r="783" spans="4:5" x14ac:dyDescent="0.3">
      <c r="D783" s="1"/>
      <c r="E783" s="1"/>
    </row>
    <row r="784" spans="4:5" x14ac:dyDescent="0.3">
      <c r="D784" s="1"/>
      <c r="E784" s="1"/>
    </row>
    <row r="785" spans="4:5" x14ac:dyDescent="0.3">
      <c r="D785" s="1"/>
      <c r="E785" s="1"/>
    </row>
    <row r="786" spans="4:5" x14ac:dyDescent="0.3">
      <c r="D786" s="1"/>
      <c r="E786" s="1"/>
    </row>
    <row r="787" spans="4:5" x14ac:dyDescent="0.3">
      <c r="D787" s="1"/>
      <c r="E787" s="1"/>
    </row>
    <row r="788" spans="4:5" x14ac:dyDescent="0.3">
      <c r="D788" s="1"/>
      <c r="E788" s="1"/>
    </row>
    <row r="789" spans="4:5" x14ac:dyDescent="0.3">
      <c r="D789" s="1"/>
      <c r="E789" s="1"/>
    </row>
    <row r="790" spans="4:5" x14ac:dyDescent="0.3">
      <c r="D790" s="1"/>
      <c r="E790" s="1"/>
    </row>
    <row r="791" spans="4:5" x14ac:dyDescent="0.3">
      <c r="D791" s="1"/>
      <c r="E791" s="1"/>
    </row>
    <row r="792" spans="4:5" x14ac:dyDescent="0.3">
      <c r="D792" s="1"/>
      <c r="E792" s="1"/>
    </row>
    <row r="793" spans="4:5" x14ac:dyDescent="0.3">
      <c r="D793" s="1"/>
      <c r="E793" s="1"/>
    </row>
    <row r="794" spans="4:5" x14ac:dyDescent="0.3">
      <c r="D794" s="1"/>
      <c r="E794" s="1"/>
    </row>
    <row r="795" spans="4:5" x14ac:dyDescent="0.3">
      <c r="D795" s="1"/>
      <c r="E795" s="1"/>
    </row>
    <row r="796" spans="4:5" x14ac:dyDescent="0.3">
      <c r="D796" s="1"/>
      <c r="E796" s="1"/>
    </row>
    <row r="797" spans="4:5" x14ac:dyDescent="0.3">
      <c r="D797" s="1"/>
      <c r="E797" s="1"/>
    </row>
    <row r="798" spans="4:5" x14ac:dyDescent="0.3">
      <c r="D798" s="1"/>
      <c r="E798" s="1"/>
    </row>
    <row r="799" spans="4:5" x14ac:dyDescent="0.3">
      <c r="D799" s="1"/>
      <c r="E799" s="1"/>
    </row>
    <row r="800" spans="4:5" x14ac:dyDescent="0.3">
      <c r="D800" s="1"/>
      <c r="E800" s="1"/>
    </row>
    <row r="801" spans="4:5" x14ac:dyDescent="0.3">
      <c r="D801" s="1"/>
      <c r="E801" s="1"/>
    </row>
    <row r="802" spans="4:5" x14ac:dyDescent="0.3">
      <c r="D802" s="1"/>
      <c r="E802" s="1"/>
    </row>
    <row r="803" spans="4:5" x14ac:dyDescent="0.3">
      <c r="D803" s="1"/>
      <c r="E803" s="1"/>
    </row>
    <row r="804" spans="4:5" x14ac:dyDescent="0.3">
      <c r="D804" s="1"/>
      <c r="E804" s="1"/>
    </row>
    <row r="805" spans="4:5" x14ac:dyDescent="0.3">
      <c r="D805" s="1"/>
      <c r="E805" s="1"/>
    </row>
    <row r="806" spans="4:5" x14ac:dyDescent="0.3">
      <c r="D806" s="1"/>
      <c r="E806" s="1"/>
    </row>
    <row r="807" spans="4:5" x14ac:dyDescent="0.3">
      <c r="D807" s="1"/>
      <c r="E807" s="1"/>
    </row>
    <row r="808" spans="4:5" x14ac:dyDescent="0.3">
      <c r="D808" s="1"/>
      <c r="E808" s="1"/>
    </row>
    <row r="809" spans="4:5" x14ac:dyDescent="0.3">
      <c r="D809" s="1"/>
      <c r="E809" s="1"/>
    </row>
    <row r="810" spans="4:5" x14ac:dyDescent="0.3">
      <c r="D810" s="1"/>
      <c r="E810" s="1"/>
    </row>
    <row r="811" spans="4:5" x14ac:dyDescent="0.3">
      <c r="D811" s="1"/>
      <c r="E811" s="1"/>
    </row>
    <row r="812" spans="4:5" x14ac:dyDescent="0.3">
      <c r="D812" s="1"/>
      <c r="E812" s="1"/>
    </row>
    <row r="813" spans="4:5" x14ac:dyDescent="0.3">
      <c r="D813" s="1"/>
      <c r="E813" s="1"/>
    </row>
    <row r="814" spans="4:5" x14ac:dyDescent="0.3">
      <c r="D814" s="1"/>
      <c r="E814" s="1"/>
    </row>
    <row r="815" spans="4:5" x14ac:dyDescent="0.3">
      <c r="D815" s="1"/>
      <c r="E815" s="1"/>
    </row>
    <row r="816" spans="4:5" x14ac:dyDescent="0.3">
      <c r="D816" s="1"/>
      <c r="E816" s="1"/>
    </row>
    <row r="817" spans="4:5" x14ac:dyDescent="0.3">
      <c r="D817" s="1"/>
      <c r="E817" s="1"/>
    </row>
    <row r="818" spans="4:5" x14ac:dyDescent="0.3">
      <c r="D818" s="1"/>
      <c r="E818" s="1"/>
    </row>
    <row r="819" spans="4:5" x14ac:dyDescent="0.3">
      <c r="D819" s="1"/>
      <c r="E819" s="1"/>
    </row>
    <row r="820" spans="4:5" x14ac:dyDescent="0.3">
      <c r="D820" s="1"/>
      <c r="E820" s="1"/>
    </row>
    <row r="821" spans="4:5" x14ac:dyDescent="0.3">
      <c r="D821" s="1"/>
      <c r="E821" s="1"/>
    </row>
    <row r="822" spans="4:5" x14ac:dyDescent="0.3">
      <c r="D822" s="1"/>
      <c r="E822" s="1"/>
    </row>
    <row r="823" spans="4:5" x14ac:dyDescent="0.3">
      <c r="D823" s="1"/>
      <c r="E823" s="1"/>
    </row>
    <row r="824" spans="4:5" x14ac:dyDescent="0.3">
      <c r="D824" s="1"/>
      <c r="E824" s="1"/>
    </row>
    <row r="825" spans="4:5" x14ac:dyDescent="0.3">
      <c r="D825" s="1"/>
      <c r="E825" s="1"/>
    </row>
    <row r="826" spans="4:5" x14ac:dyDescent="0.3">
      <c r="D826" s="1"/>
      <c r="E826" s="1"/>
    </row>
    <row r="827" spans="4:5" x14ac:dyDescent="0.3">
      <c r="D827" s="1"/>
      <c r="E827" s="1"/>
    </row>
    <row r="828" spans="4:5" x14ac:dyDescent="0.3">
      <c r="D828" s="1"/>
      <c r="E828" s="1"/>
    </row>
    <row r="829" spans="4:5" x14ac:dyDescent="0.3">
      <c r="D829" s="1"/>
      <c r="E829" s="1"/>
    </row>
    <row r="830" spans="4:5" x14ac:dyDescent="0.3">
      <c r="D830" s="1"/>
      <c r="E830" s="1"/>
    </row>
    <row r="831" spans="4:5" x14ac:dyDescent="0.3">
      <c r="D831" s="1"/>
      <c r="E831" s="1"/>
    </row>
    <row r="832" spans="4:5" x14ac:dyDescent="0.3">
      <c r="D832" s="1"/>
      <c r="E832" s="1"/>
    </row>
    <row r="833" spans="4:5" x14ac:dyDescent="0.3">
      <c r="D833" s="1"/>
      <c r="E833" s="1"/>
    </row>
    <row r="834" spans="4:5" x14ac:dyDescent="0.3">
      <c r="D834" s="1"/>
      <c r="E834" s="1"/>
    </row>
    <row r="835" spans="4:5" x14ac:dyDescent="0.3">
      <c r="D835" s="1"/>
      <c r="E835" s="1"/>
    </row>
    <row r="836" spans="4:5" x14ac:dyDescent="0.3">
      <c r="D836" s="1"/>
      <c r="E836" s="1"/>
    </row>
    <row r="837" spans="4:5" x14ac:dyDescent="0.3">
      <c r="D837" s="1"/>
      <c r="E837" s="1"/>
    </row>
    <row r="838" spans="4:5" x14ac:dyDescent="0.3">
      <c r="D838" s="1"/>
      <c r="E838" s="1"/>
    </row>
    <row r="839" spans="4:5" x14ac:dyDescent="0.3">
      <c r="D839" s="1"/>
      <c r="E839" s="1"/>
    </row>
    <row r="840" spans="4:5" x14ac:dyDescent="0.3">
      <c r="D840" s="1"/>
      <c r="E840" s="1"/>
    </row>
    <row r="841" spans="4:5" x14ac:dyDescent="0.3">
      <c r="D841" s="1"/>
      <c r="E841" s="1"/>
    </row>
    <row r="842" spans="4:5" x14ac:dyDescent="0.3">
      <c r="D842" s="1"/>
      <c r="E842" s="1"/>
    </row>
    <row r="843" spans="4:5" x14ac:dyDescent="0.3">
      <c r="D843" s="1"/>
      <c r="E843" s="1"/>
    </row>
    <row r="844" spans="4:5" x14ac:dyDescent="0.3">
      <c r="D844" s="1"/>
      <c r="E844" s="1"/>
    </row>
    <row r="845" spans="4:5" x14ac:dyDescent="0.3">
      <c r="D845" s="1"/>
      <c r="E845" s="1"/>
    </row>
    <row r="846" spans="4:5" x14ac:dyDescent="0.3">
      <c r="D846" s="1"/>
      <c r="E846" s="1"/>
    </row>
    <row r="847" spans="4:5" x14ac:dyDescent="0.3">
      <c r="D847" s="1"/>
      <c r="E847" s="1"/>
    </row>
    <row r="848" spans="4:5" x14ac:dyDescent="0.3">
      <c r="D848" s="1"/>
      <c r="E848" s="1"/>
    </row>
    <row r="849" spans="4:5" x14ac:dyDescent="0.3">
      <c r="D849" s="1"/>
      <c r="E849" s="1"/>
    </row>
    <row r="850" spans="4:5" x14ac:dyDescent="0.3">
      <c r="D850" s="1"/>
      <c r="E850" s="1"/>
    </row>
    <row r="851" spans="4:5" x14ac:dyDescent="0.3">
      <c r="D851" s="1"/>
      <c r="E851" s="1"/>
    </row>
    <row r="852" spans="4:5" x14ac:dyDescent="0.3">
      <c r="D852" s="1"/>
      <c r="E852" s="1"/>
    </row>
    <row r="853" spans="4:5" x14ac:dyDescent="0.3">
      <c r="D853" s="1"/>
      <c r="E853" s="1"/>
    </row>
    <row r="854" spans="4:5" x14ac:dyDescent="0.3">
      <c r="D854" s="1"/>
      <c r="E854" s="1"/>
    </row>
    <row r="855" spans="4:5" x14ac:dyDescent="0.3">
      <c r="D855" s="1"/>
      <c r="E855" s="1"/>
    </row>
    <row r="856" spans="4:5" x14ac:dyDescent="0.3">
      <c r="D856" s="1"/>
      <c r="E856" s="1"/>
    </row>
    <row r="857" spans="4:5" x14ac:dyDescent="0.3">
      <c r="D857" s="1"/>
      <c r="E857" s="1"/>
    </row>
    <row r="858" spans="4:5" x14ac:dyDescent="0.3">
      <c r="D858" s="1"/>
      <c r="E858" s="1"/>
    </row>
    <row r="859" spans="4:5" x14ac:dyDescent="0.3">
      <c r="D859" s="1"/>
      <c r="E859" s="1"/>
    </row>
    <row r="860" spans="4:5" x14ac:dyDescent="0.3">
      <c r="D860" s="1"/>
      <c r="E860" s="1"/>
    </row>
    <row r="861" spans="4:5" x14ac:dyDescent="0.3">
      <c r="D861" s="1"/>
      <c r="E861" s="1"/>
    </row>
    <row r="862" spans="4:5" x14ac:dyDescent="0.3">
      <c r="D862" s="1"/>
      <c r="E862" s="1"/>
    </row>
    <row r="863" spans="4:5" x14ac:dyDescent="0.3">
      <c r="D863" s="1"/>
      <c r="E863" s="1"/>
    </row>
    <row r="864" spans="4:5" x14ac:dyDescent="0.3">
      <c r="D864" s="1"/>
      <c r="E864" s="1"/>
    </row>
    <row r="865" spans="4:5" x14ac:dyDescent="0.3">
      <c r="D865" s="1"/>
      <c r="E865" s="1"/>
    </row>
    <row r="866" spans="4:5" x14ac:dyDescent="0.3">
      <c r="D866" s="1"/>
      <c r="E866" s="1"/>
    </row>
    <row r="867" spans="4:5" x14ac:dyDescent="0.3">
      <c r="D867" s="1"/>
      <c r="E867" s="1"/>
    </row>
    <row r="868" spans="4:5" x14ac:dyDescent="0.3">
      <c r="D868" s="1"/>
      <c r="E868" s="1"/>
    </row>
    <row r="869" spans="4:5" x14ac:dyDescent="0.3">
      <c r="D869" s="1"/>
      <c r="E869" s="1"/>
    </row>
    <row r="870" spans="4:5" x14ac:dyDescent="0.3">
      <c r="D870" s="1"/>
      <c r="E870" s="1"/>
    </row>
    <row r="871" spans="4:5" x14ac:dyDescent="0.3">
      <c r="D871" s="1"/>
      <c r="E871" s="1"/>
    </row>
    <row r="872" spans="4:5" x14ac:dyDescent="0.3">
      <c r="D872" s="1"/>
      <c r="E872" s="1"/>
    </row>
    <row r="873" spans="4:5" x14ac:dyDescent="0.3">
      <c r="D873" s="1"/>
      <c r="E873" s="1"/>
    </row>
    <row r="874" spans="4:5" x14ac:dyDescent="0.3">
      <c r="D874" s="1"/>
      <c r="E874" s="1"/>
    </row>
    <row r="875" spans="4:5" x14ac:dyDescent="0.3">
      <c r="D875" s="1"/>
      <c r="E875" s="1"/>
    </row>
    <row r="876" spans="4:5" x14ac:dyDescent="0.3">
      <c r="D876" s="1"/>
      <c r="E876" s="1"/>
    </row>
    <row r="877" spans="4:5" x14ac:dyDescent="0.3">
      <c r="D877" s="1"/>
      <c r="E877" s="1"/>
    </row>
    <row r="878" spans="4:5" x14ac:dyDescent="0.3">
      <c r="D878" s="1"/>
      <c r="E878" s="1"/>
    </row>
    <row r="879" spans="4:5" x14ac:dyDescent="0.3">
      <c r="D879" s="1"/>
      <c r="E879" s="1"/>
    </row>
    <row r="880" spans="4:5" x14ac:dyDescent="0.3">
      <c r="D880" s="1"/>
      <c r="E880" s="1"/>
    </row>
    <row r="881" spans="4:5" x14ac:dyDescent="0.3">
      <c r="D881" s="1"/>
      <c r="E881" s="1"/>
    </row>
    <row r="882" spans="4:5" x14ac:dyDescent="0.3">
      <c r="D882" s="1"/>
      <c r="E882" s="1"/>
    </row>
    <row r="883" spans="4:5" x14ac:dyDescent="0.3">
      <c r="D883" s="1"/>
      <c r="E883" s="1"/>
    </row>
    <row r="884" spans="4:5" x14ac:dyDescent="0.3">
      <c r="D884" s="1"/>
      <c r="E884" s="1"/>
    </row>
    <row r="885" spans="4:5" x14ac:dyDescent="0.3">
      <c r="D885" s="1"/>
      <c r="E885" s="1"/>
    </row>
    <row r="886" spans="4:5" x14ac:dyDescent="0.3">
      <c r="D886" s="1"/>
      <c r="E886" s="1"/>
    </row>
    <row r="887" spans="4:5" x14ac:dyDescent="0.3">
      <c r="D887" s="1"/>
      <c r="E887" s="1"/>
    </row>
    <row r="888" spans="4:5" x14ac:dyDescent="0.3">
      <c r="D888" s="1"/>
      <c r="E888" s="1"/>
    </row>
    <row r="889" spans="4:5" x14ac:dyDescent="0.3">
      <c r="D889" s="1"/>
      <c r="E889" s="1"/>
    </row>
    <row r="890" spans="4:5" x14ac:dyDescent="0.3">
      <c r="D890" s="1"/>
      <c r="E890" s="1"/>
    </row>
    <row r="891" spans="4:5" x14ac:dyDescent="0.3">
      <c r="D891" s="1"/>
      <c r="E891" s="1"/>
    </row>
    <row r="892" spans="4:5" x14ac:dyDescent="0.3">
      <c r="D892" s="1"/>
      <c r="E892" s="1"/>
    </row>
    <row r="893" spans="4:5" x14ac:dyDescent="0.3">
      <c r="D893" s="1"/>
      <c r="E893" s="1"/>
    </row>
    <row r="894" spans="4:5" x14ac:dyDescent="0.3">
      <c r="D894" s="1"/>
      <c r="E894" s="1"/>
    </row>
    <row r="895" spans="4:5" x14ac:dyDescent="0.3">
      <c r="D895" s="1"/>
      <c r="E895" s="1"/>
    </row>
    <row r="896" spans="4:5" x14ac:dyDescent="0.3">
      <c r="D896" s="1"/>
      <c r="E896" s="1"/>
    </row>
    <row r="897" spans="4:5" x14ac:dyDescent="0.3">
      <c r="D897" s="1"/>
      <c r="E897" s="1"/>
    </row>
    <row r="898" spans="4:5" x14ac:dyDescent="0.3">
      <c r="D898" s="1"/>
      <c r="E898" s="1"/>
    </row>
    <row r="899" spans="4:5" x14ac:dyDescent="0.3">
      <c r="D899" s="1"/>
      <c r="E899" s="1"/>
    </row>
    <row r="900" spans="4:5" x14ac:dyDescent="0.3">
      <c r="D900" s="1"/>
      <c r="E900" s="1"/>
    </row>
    <row r="901" spans="4:5" x14ac:dyDescent="0.3">
      <c r="D901" s="1"/>
      <c r="E901" s="1"/>
    </row>
    <row r="902" spans="4:5" x14ac:dyDescent="0.3">
      <c r="D902" s="1"/>
      <c r="E902" s="1"/>
    </row>
    <row r="903" spans="4:5" x14ac:dyDescent="0.3">
      <c r="D903" s="1"/>
      <c r="E903" s="1"/>
    </row>
    <row r="904" spans="4:5" x14ac:dyDescent="0.3">
      <c r="D904" s="1"/>
      <c r="E904" s="1"/>
    </row>
    <row r="905" spans="4:5" x14ac:dyDescent="0.3">
      <c r="D905" s="1"/>
      <c r="E905" s="1"/>
    </row>
    <row r="906" spans="4:5" x14ac:dyDescent="0.3">
      <c r="D906" s="1"/>
      <c r="E906" s="1"/>
    </row>
    <row r="907" spans="4:5" x14ac:dyDescent="0.3">
      <c r="D907" s="1"/>
      <c r="E907" s="1"/>
    </row>
    <row r="908" spans="4:5" x14ac:dyDescent="0.3">
      <c r="D908" s="1"/>
      <c r="E908" s="1"/>
    </row>
    <row r="909" spans="4:5" x14ac:dyDescent="0.3">
      <c r="D909" s="1"/>
      <c r="E909" s="1"/>
    </row>
    <row r="910" spans="4:5" x14ac:dyDescent="0.3">
      <c r="D910" s="1"/>
      <c r="E910" s="1"/>
    </row>
    <row r="911" spans="4:5" x14ac:dyDescent="0.3">
      <c r="D911" s="1"/>
      <c r="E911" s="1"/>
    </row>
    <row r="912" spans="4:5" x14ac:dyDescent="0.3">
      <c r="D912" s="1"/>
      <c r="E912" s="1"/>
    </row>
    <row r="913" spans="4:5" x14ac:dyDescent="0.3">
      <c r="D913" s="1"/>
      <c r="E913" s="1"/>
    </row>
    <row r="914" spans="4:5" x14ac:dyDescent="0.3">
      <c r="D914" s="1"/>
      <c r="E914" s="1"/>
    </row>
    <row r="915" spans="4:5" x14ac:dyDescent="0.3">
      <c r="D915" s="1"/>
      <c r="E915" s="1"/>
    </row>
    <row r="916" spans="4:5" x14ac:dyDescent="0.3">
      <c r="D916" s="1"/>
      <c r="E916" s="1"/>
    </row>
    <row r="917" spans="4:5" x14ac:dyDescent="0.3">
      <c r="D917" s="1"/>
      <c r="E917" s="1"/>
    </row>
    <row r="918" spans="4:5" x14ac:dyDescent="0.3">
      <c r="D918" s="1"/>
      <c r="E918" s="1"/>
    </row>
    <row r="919" spans="4:5" x14ac:dyDescent="0.3">
      <c r="D919" s="1"/>
      <c r="E919" s="1"/>
    </row>
    <row r="920" spans="4:5" x14ac:dyDescent="0.3">
      <c r="D920" s="1"/>
      <c r="E920" s="1"/>
    </row>
    <row r="921" spans="4:5" x14ac:dyDescent="0.3">
      <c r="D921" s="1"/>
      <c r="E921" s="1"/>
    </row>
    <row r="922" spans="4:5" x14ac:dyDescent="0.3">
      <c r="D922" s="1"/>
      <c r="E922" s="1"/>
    </row>
    <row r="923" spans="4:5" x14ac:dyDescent="0.3">
      <c r="D923" s="1"/>
      <c r="E923" s="1"/>
    </row>
    <row r="924" spans="4:5" x14ac:dyDescent="0.3">
      <c r="D924" s="1"/>
      <c r="E924" s="1"/>
    </row>
    <row r="925" spans="4:5" x14ac:dyDescent="0.3">
      <c r="D925" s="1"/>
      <c r="E925" s="1"/>
    </row>
    <row r="926" spans="4:5" x14ac:dyDescent="0.3">
      <c r="D926" s="1"/>
      <c r="E926" s="1"/>
    </row>
    <row r="927" spans="4:5" x14ac:dyDescent="0.3">
      <c r="D927" s="1"/>
      <c r="E927" s="1"/>
    </row>
    <row r="928" spans="4:5" x14ac:dyDescent="0.3">
      <c r="D928" s="1"/>
      <c r="E928" s="1"/>
    </row>
    <row r="929" spans="4:5" x14ac:dyDescent="0.3">
      <c r="D929" s="1"/>
      <c r="E929" s="1"/>
    </row>
    <row r="930" spans="4:5" x14ac:dyDescent="0.3">
      <c r="D930" s="1"/>
      <c r="E930" s="1"/>
    </row>
    <row r="931" spans="4:5" x14ac:dyDescent="0.3">
      <c r="D931" s="1"/>
      <c r="E931" s="1"/>
    </row>
    <row r="932" spans="4:5" x14ac:dyDescent="0.3">
      <c r="D932" s="1"/>
      <c r="E932" s="1"/>
    </row>
    <row r="933" spans="4:5" x14ac:dyDescent="0.3">
      <c r="D933" s="1"/>
      <c r="E933" s="1"/>
    </row>
    <row r="934" spans="4:5" x14ac:dyDescent="0.3">
      <c r="D934" s="1"/>
      <c r="E934" s="1"/>
    </row>
    <row r="935" spans="4:5" x14ac:dyDescent="0.3">
      <c r="D935" s="1"/>
      <c r="E935" s="1"/>
    </row>
    <row r="936" spans="4:5" x14ac:dyDescent="0.3">
      <c r="D936" s="1"/>
      <c r="E936" s="1"/>
    </row>
    <row r="937" spans="4:5" x14ac:dyDescent="0.3">
      <c r="D937" s="1"/>
      <c r="E937" s="1"/>
    </row>
    <row r="938" spans="4:5" x14ac:dyDescent="0.3">
      <c r="D938" s="1"/>
      <c r="E938" s="1"/>
    </row>
    <row r="939" spans="4:5" x14ac:dyDescent="0.3">
      <c r="D939" s="1"/>
      <c r="E939" s="1"/>
    </row>
    <row r="940" spans="4:5" x14ac:dyDescent="0.3">
      <c r="D940" s="1"/>
      <c r="E940" s="1"/>
    </row>
    <row r="941" spans="4:5" x14ac:dyDescent="0.3">
      <c r="D941" s="1"/>
      <c r="E941" s="1"/>
    </row>
    <row r="942" spans="4:5" x14ac:dyDescent="0.3">
      <c r="D942" s="1"/>
      <c r="E942" s="1"/>
    </row>
    <row r="943" spans="4:5" x14ac:dyDescent="0.3">
      <c r="D943" s="1"/>
      <c r="E943" s="1"/>
    </row>
    <row r="944" spans="4:5" x14ac:dyDescent="0.3">
      <c r="D944" s="1"/>
      <c r="E944" s="1"/>
    </row>
    <row r="945" spans="4:5" x14ac:dyDescent="0.3">
      <c r="D945" s="1"/>
      <c r="E945" s="1"/>
    </row>
    <row r="946" spans="4:5" x14ac:dyDescent="0.3">
      <c r="D946" s="1"/>
      <c r="E946" s="1"/>
    </row>
    <row r="947" spans="4:5" x14ac:dyDescent="0.3">
      <c r="D947" s="1"/>
      <c r="E947" s="1"/>
    </row>
    <row r="948" spans="4:5" x14ac:dyDescent="0.3">
      <c r="D948" s="1"/>
      <c r="E948" s="1"/>
    </row>
    <row r="949" spans="4:5" x14ac:dyDescent="0.3">
      <c r="D949" s="1"/>
      <c r="E949" s="1"/>
    </row>
    <row r="950" spans="4:5" x14ac:dyDescent="0.3">
      <c r="D950" s="1"/>
      <c r="E950" s="1"/>
    </row>
    <row r="951" spans="4:5" x14ac:dyDescent="0.3">
      <c r="D951" s="1"/>
      <c r="E951" s="1"/>
    </row>
    <row r="952" spans="4:5" x14ac:dyDescent="0.3">
      <c r="D952" s="1"/>
      <c r="E952" s="1"/>
    </row>
    <row r="953" spans="4:5" x14ac:dyDescent="0.3">
      <c r="D953" s="1"/>
      <c r="E953" s="1"/>
    </row>
    <row r="954" spans="4:5" x14ac:dyDescent="0.3">
      <c r="D954" s="1"/>
      <c r="E954" s="1"/>
    </row>
    <row r="955" spans="4:5" x14ac:dyDescent="0.3">
      <c r="D955" s="1"/>
      <c r="E955" s="1"/>
    </row>
    <row r="956" spans="4:5" x14ac:dyDescent="0.3">
      <c r="D956" s="1"/>
      <c r="E956" s="1"/>
    </row>
    <row r="957" spans="4:5" x14ac:dyDescent="0.3">
      <c r="D957" s="1"/>
      <c r="E957" s="1"/>
    </row>
    <row r="958" spans="4:5" x14ac:dyDescent="0.3">
      <c r="D958" s="1"/>
      <c r="E958" s="1"/>
    </row>
    <row r="959" spans="4:5" x14ac:dyDescent="0.3">
      <c r="D959" s="1"/>
      <c r="E959" s="1"/>
    </row>
    <row r="960" spans="4:5" x14ac:dyDescent="0.3">
      <c r="D960" s="1"/>
      <c r="E960" s="1"/>
    </row>
    <row r="961" spans="4:5" x14ac:dyDescent="0.3">
      <c r="D961" s="1"/>
      <c r="E961" s="1"/>
    </row>
    <row r="962" spans="4:5" x14ac:dyDescent="0.3">
      <c r="D962" s="1"/>
      <c r="E962" s="1"/>
    </row>
    <row r="963" spans="4:5" x14ac:dyDescent="0.3">
      <c r="D963" s="1"/>
      <c r="E963" s="1"/>
    </row>
    <row r="964" spans="4:5" x14ac:dyDescent="0.3">
      <c r="D964" s="1"/>
      <c r="E964" s="1"/>
    </row>
    <row r="965" spans="4:5" x14ac:dyDescent="0.3">
      <c r="D965" s="1"/>
      <c r="E965" s="1"/>
    </row>
    <row r="966" spans="4:5" x14ac:dyDescent="0.3">
      <c r="D966" s="1"/>
      <c r="E966" s="1"/>
    </row>
    <row r="967" spans="4:5" x14ac:dyDescent="0.3">
      <c r="D967" s="1"/>
      <c r="E967" s="1"/>
    </row>
    <row r="968" spans="4:5" x14ac:dyDescent="0.3">
      <c r="D968" s="1"/>
      <c r="E968" s="1"/>
    </row>
    <row r="969" spans="4:5" x14ac:dyDescent="0.3">
      <c r="D969" s="1"/>
      <c r="E969" s="1"/>
    </row>
    <row r="970" spans="4:5" x14ac:dyDescent="0.3">
      <c r="D970" s="1"/>
      <c r="E970" s="1"/>
    </row>
    <row r="971" spans="4:5" x14ac:dyDescent="0.3">
      <c r="D971" s="1"/>
      <c r="E971" s="1"/>
    </row>
    <row r="972" spans="4:5" x14ac:dyDescent="0.3">
      <c r="D972" s="1"/>
      <c r="E972" s="1"/>
    </row>
    <row r="973" spans="4:5" x14ac:dyDescent="0.3">
      <c r="D973" s="1"/>
      <c r="E973" s="1"/>
    </row>
    <row r="974" spans="4:5" x14ac:dyDescent="0.3">
      <c r="D974" s="1"/>
      <c r="E974" s="1"/>
    </row>
    <row r="975" spans="4:5" x14ac:dyDescent="0.3">
      <c r="D975" s="1"/>
      <c r="E975" s="1"/>
    </row>
    <row r="976" spans="4:5" x14ac:dyDescent="0.3">
      <c r="D976" s="1"/>
      <c r="E976" s="1"/>
    </row>
    <row r="977" spans="4:5" x14ac:dyDescent="0.3">
      <c r="D977" s="1"/>
      <c r="E977" s="1"/>
    </row>
    <row r="978" spans="4:5" x14ac:dyDescent="0.3">
      <c r="D978" s="1"/>
      <c r="E978" s="1"/>
    </row>
    <row r="979" spans="4:5" x14ac:dyDescent="0.3">
      <c r="D979" s="1"/>
      <c r="E979" s="1"/>
    </row>
    <row r="980" spans="4:5" x14ac:dyDescent="0.3">
      <c r="D980" s="1"/>
      <c r="E980" s="1"/>
    </row>
    <row r="981" spans="4:5" x14ac:dyDescent="0.3">
      <c r="D981" s="1"/>
      <c r="E981" s="1"/>
    </row>
    <row r="982" spans="4:5" x14ac:dyDescent="0.3">
      <c r="D982" s="1"/>
      <c r="E982" s="1"/>
    </row>
    <row r="983" spans="4:5" x14ac:dyDescent="0.3">
      <c r="D983" s="1"/>
      <c r="E983" s="1"/>
    </row>
    <row r="984" spans="4:5" x14ac:dyDescent="0.3">
      <c r="D984" s="1"/>
      <c r="E984" s="1"/>
    </row>
    <row r="985" spans="4:5" x14ac:dyDescent="0.3">
      <c r="D985" s="1"/>
      <c r="E985" s="1"/>
    </row>
    <row r="986" spans="4:5" x14ac:dyDescent="0.3">
      <c r="D986" s="1"/>
      <c r="E986" s="1"/>
    </row>
    <row r="987" spans="4:5" x14ac:dyDescent="0.3">
      <c r="D987" s="1"/>
      <c r="E987" s="1"/>
    </row>
    <row r="988" spans="4:5" x14ac:dyDescent="0.3">
      <c r="D988" s="1"/>
      <c r="E988" s="1"/>
    </row>
    <row r="989" spans="4:5" x14ac:dyDescent="0.3">
      <c r="D989" s="1"/>
      <c r="E989" s="1"/>
    </row>
    <row r="990" spans="4:5" x14ac:dyDescent="0.3">
      <c r="D990" s="1"/>
      <c r="E990" s="1"/>
    </row>
    <row r="991" spans="4:5" x14ac:dyDescent="0.3">
      <c r="D991" s="1"/>
      <c r="E991" s="1"/>
    </row>
    <row r="992" spans="4:5" x14ac:dyDescent="0.3">
      <c r="D992" s="1"/>
      <c r="E992" s="1"/>
    </row>
    <row r="993" spans="4:5" x14ac:dyDescent="0.3">
      <c r="D993" s="1"/>
      <c r="E993" s="1"/>
    </row>
    <row r="994" spans="4:5" x14ac:dyDescent="0.3">
      <c r="D994" s="1"/>
      <c r="E994" s="1"/>
    </row>
    <row r="995" spans="4:5" x14ac:dyDescent="0.3">
      <c r="D995" s="1"/>
      <c r="E995" s="1"/>
    </row>
    <row r="996" spans="4:5" x14ac:dyDescent="0.3">
      <c r="D996" s="1"/>
      <c r="E996" s="1"/>
    </row>
    <row r="997" spans="4:5" x14ac:dyDescent="0.3">
      <c r="D997" s="1"/>
      <c r="E997" s="1"/>
    </row>
    <row r="998" spans="4:5" x14ac:dyDescent="0.3">
      <c r="D998" s="1"/>
      <c r="E998" s="1"/>
    </row>
    <row r="999" spans="4:5" x14ac:dyDescent="0.3">
      <c r="D999" s="1"/>
      <c r="E999" s="1"/>
    </row>
    <row r="1000" spans="4:5" x14ac:dyDescent="0.3">
      <c r="D1000" s="1"/>
      <c r="E1000" s="1"/>
    </row>
    <row r="1001" spans="4:5" x14ac:dyDescent="0.3">
      <c r="D1001" s="1"/>
      <c r="E1001" s="1"/>
    </row>
    <row r="1002" spans="4:5" x14ac:dyDescent="0.3">
      <c r="D1002" s="1"/>
      <c r="E1002" s="1"/>
    </row>
    <row r="1003" spans="4:5" x14ac:dyDescent="0.3">
      <c r="D1003" s="1"/>
      <c r="E1003" s="1"/>
    </row>
    <row r="1004" spans="4:5" x14ac:dyDescent="0.3">
      <c r="D1004" s="1"/>
      <c r="E1004" s="1"/>
    </row>
    <row r="1005" spans="4:5" x14ac:dyDescent="0.3">
      <c r="D1005" s="1"/>
      <c r="E1005" s="1"/>
    </row>
    <row r="1006" spans="4:5" x14ac:dyDescent="0.3">
      <c r="D1006" s="1"/>
      <c r="E1006" s="1"/>
    </row>
    <row r="1007" spans="4:5" x14ac:dyDescent="0.3">
      <c r="D1007" s="1"/>
      <c r="E1007" s="1"/>
    </row>
  </sheetData>
  <mergeCells count="1">
    <mergeCell ref="E1:L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>
                <anchor moveWithCells="1" sizeWithCells="1">
                  <from>
                    <xdr:col>6</xdr:col>
                    <xdr:colOff>304800</xdr:colOff>
                    <xdr:row>6</xdr:row>
                    <xdr:rowOff>106680</xdr:rowOff>
                  </from>
                  <to>
                    <xdr:col>8</xdr:col>
                    <xdr:colOff>441960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>
                <anchor moveWithCells="1" sizeWithCells="1">
                  <from>
                    <xdr:col>6</xdr:col>
                    <xdr:colOff>297180</xdr:colOff>
                    <xdr:row>8</xdr:row>
                    <xdr:rowOff>91440</xdr:rowOff>
                  </from>
                  <to>
                    <xdr:col>8</xdr:col>
                    <xdr:colOff>434340</xdr:colOff>
                    <xdr:row>9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C000"/>
  </sheetPr>
  <dimension ref="A1:I6"/>
  <sheetViews>
    <sheetView view="pageBreakPreview" zoomScale="91" zoomScaleNormal="91" zoomScaleSheetLayoutView="91" workbookViewId="0">
      <selection activeCell="G7" sqref="G7"/>
    </sheetView>
  </sheetViews>
  <sheetFormatPr defaultRowHeight="14.4" x14ac:dyDescent="0.3"/>
  <cols>
    <col min="1" max="1" width="14.6640625" bestFit="1" customWidth="1"/>
    <col min="2" max="2" width="14.6640625" customWidth="1"/>
    <col min="3" max="3" width="15.5546875" bestFit="1" customWidth="1"/>
    <col min="5" max="5" width="21" customWidth="1"/>
    <col min="7" max="7" width="21.44140625" customWidth="1"/>
  </cols>
  <sheetData>
    <row r="1" spans="1:9" x14ac:dyDescent="0.3">
      <c r="A1" s="30" t="s">
        <v>14</v>
      </c>
      <c r="B1" s="30"/>
      <c r="E1" s="15" t="s">
        <v>16</v>
      </c>
      <c r="G1" s="15" t="s">
        <v>15</v>
      </c>
      <c r="H1" s="31" t="s">
        <v>17</v>
      </c>
      <c r="I1" s="31"/>
    </row>
    <row r="2" spans="1:9" ht="30.6" customHeight="1" x14ac:dyDescent="0.3">
      <c r="A2" s="16" t="s">
        <v>18</v>
      </c>
      <c r="B2" s="16" t="s">
        <v>19</v>
      </c>
      <c r="C2" s="17" t="s">
        <v>20</v>
      </c>
      <c r="E2" s="18" t="s">
        <v>21</v>
      </c>
      <c r="F2" s="19"/>
      <c r="G2" s="18" t="s">
        <v>21</v>
      </c>
      <c r="H2" s="31"/>
      <c r="I2" s="31"/>
    </row>
    <row r="3" spans="1:9" x14ac:dyDescent="0.3">
      <c r="A3" s="20">
        <v>0</v>
      </c>
      <c r="B3" s="20">
        <v>9999</v>
      </c>
      <c r="C3" s="21">
        <v>0.08</v>
      </c>
      <c r="E3" s="22">
        <v>20000</v>
      </c>
      <c r="F3" s="19"/>
      <c r="G3" s="22">
        <v>20000</v>
      </c>
    </row>
    <row r="4" spans="1:9" x14ac:dyDescent="0.3">
      <c r="A4" s="23">
        <v>10000</v>
      </c>
      <c r="B4" s="23">
        <v>19999</v>
      </c>
      <c r="C4" s="21">
        <v>0.105</v>
      </c>
    </row>
    <row r="5" spans="1:9" x14ac:dyDescent="0.3">
      <c r="A5" s="23">
        <v>20000</v>
      </c>
      <c r="B5" s="23">
        <v>39999</v>
      </c>
      <c r="C5" s="21">
        <v>0.12</v>
      </c>
      <c r="E5" s="18" t="s">
        <v>22</v>
      </c>
      <c r="G5" s="18" t="s">
        <v>22</v>
      </c>
    </row>
    <row r="6" spans="1:9" x14ac:dyDescent="0.3">
      <c r="A6" s="23">
        <v>40000</v>
      </c>
      <c r="B6" s="23"/>
      <c r="C6" s="21">
        <v>0.14000000000000001</v>
      </c>
      <c r="D6" s="24"/>
      <c r="E6" s="25">
        <v>2400</v>
      </c>
      <c r="G6" s="25">
        <v>3399.9999999999995</v>
      </c>
    </row>
  </sheetData>
  <mergeCells count="2">
    <mergeCell ref="A1:B1"/>
    <mergeCell ref="H1:I2"/>
  </mergeCells>
  <pageMargins left="0.7" right="0.7" top="0.75" bottom="0.75" header="0.3" footer="0.3"/>
  <pageSetup scale="61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HW2a discount rate vba</vt:lpstr>
      <vt:lpstr>discount rate vba soln</vt:lpstr>
      <vt:lpstr>HW2b sales commission</vt:lpstr>
      <vt:lpstr>'discount rate vba soln'!days</vt:lpstr>
      <vt:lpstr>'HW2a discount rate vba'!days</vt:lpstr>
      <vt:lpstr>days1</vt:lpstr>
      <vt:lpstr>'HW2b sales commission'!Print_Area</vt:lpstr>
      <vt:lpstr>'discount rate vba soln'!rate</vt:lpstr>
      <vt:lpstr>'HW2a discount rate vba'!rate</vt:lpstr>
      <vt:lpstr>rate1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</dc:creator>
  <cp:lastModifiedBy>Mickael Bertolla</cp:lastModifiedBy>
  <dcterms:created xsi:type="dcterms:W3CDTF">2014-07-11T23:51:56Z</dcterms:created>
  <dcterms:modified xsi:type="dcterms:W3CDTF">2021-09-14T00:11:19Z</dcterms:modified>
</cp:coreProperties>
</file>