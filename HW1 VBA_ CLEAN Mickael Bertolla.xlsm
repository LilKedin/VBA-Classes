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ka\Desktop\Cours Raleigh\VBA foundations for Finance\"/>
    </mc:Choice>
  </mc:AlternateContent>
  <xr:revisionPtr revIDLastSave="0" documentId="13_ncr:1_{01026AD7-6F59-490B-B63F-0378693098AE}" xr6:coauthVersionLast="45" xr6:coauthVersionMax="47" xr10:uidLastSave="{00000000-0000-0000-0000-000000000000}"/>
  <bookViews>
    <workbookView xWindow="-9060" yWindow="3540" windowWidth="17280" windowHeight="8964" activeTab="1" xr2:uid="{00000000-000D-0000-FFFF-FFFF00000000}"/>
  </bookViews>
  <sheets>
    <sheet name="HW1 instruction" sheetId="12" r:id="rId1"/>
    <sheet name="HW1" sheetId="1" r:id="rId2"/>
  </sheets>
  <definedNames>
    <definedName name="leverage">'HW1'!#REF!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3" i="1" l="1"/>
  <c r="D24" i="1"/>
  <c r="D25" i="1"/>
  <c r="D26" i="1"/>
  <c r="D28" i="1"/>
  <c r="D29" i="1"/>
  <c r="D30" i="1"/>
  <c r="D31" i="1"/>
  <c r="D32" i="1"/>
  <c r="D33" i="1"/>
  <c r="D21" i="1"/>
  <c r="B36" i="1"/>
  <c r="B35" i="1"/>
  <c r="B33" i="1"/>
  <c r="B32" i="1"/>
  <c r="B31" i="1"/>
  <c r="B29" i="1"/>
  <c r="B30" i="1"/>
  <c r="B28" i="1"/>
  <c r="B26" i="1"/>
  <c r="A24" i="1"/>
  <c r="B24" i="1"/>
  <c r="A25" i="1"/>
  <c r="B25" i="1"/>
  <c r="B23" i="1"/>
  <c r="A23" i="1"/>
  <c r="B21" i="1"/>
  <c r="D24" i="12" l="1"/>
  <c r="D21" i="12"/>
  <c r="B36" i="12" l="1"/>
  <c r="D33" i="12"/>
  <c r="D32" i="12"/>
  <c r="D31" i="12"/>
  <c r="D30" i="12"/>
  <c r="D29" i="12"/>
  <c r="D28" i="12"/>
  <c r="D26" i="12"/>
  <c r="D25" i="12"/>
  <c r="D23" i="12"/>
  <c r="B19" i="12"/>
  <c r="B11" i="12"/>
  <c r="E11" i="12" s="1"/>
  <c r="E4" i="12" s="1"/>
  <c r="B11" i="1" l="1"/>
  <c r="E11" i="1" s="1"/>
  <c r="E4" i="1" l="1"/>
</calcChain>
</file>

<file path=xl/sharedStrings.xml><?xml version="1.0" encoding="utf-8"?>
<sst xmlns="http://schemas.openxmlformats.org/spreadsheetml/2006/main" count="80" uniqueCount="37">
  <si>
    <t>Capitalization Table</t>
  </si>
  <si>
    <t>Cash</t>
  </si>
  <si>
    <t>Short term assets</t>
  </si>
  <si>
    <t>Long term assets</t>
  </si>
  <si>
    <t>Other assets</t>
  </si>
  <si>
    <t>Assets</t>
  </si>
  <si>
    <t>Liabilities</t>
  </si>
  <si>
    <t>Equity</t>
  </si>
  <si>
    <t>Long term debt</t>
  </si>
  <si>
    <t>Retained earnings</t>
  </si>
  <si>
    <t>Common stock</t>
  </si>
  <si>
    <t>Cum. EBITDA</t>
  </si>
  <si>
    <t>Current</t>
  </si>
  <si>
    <t>multiple</t>
  </si>
  <si>
    <t>Total Assets</t>
  </si>
  <si>
    <t>Current EBITDA</t>
  </si>
  <si>
    <t>Total Liabilities &amp; Equity</t>
  </si>
  <si>
    <t>EBITDA</t>
  </si>
  <si>
    <t>Total L+E</t>
  </si>
  <si>
    <t xml:space="preserve"> &lt; sum</t>
  </si>
  <si>
    <t>$ USD M</t>
  </si>
  <si>
    <t>Total shares (in millions)</t>
  </si>
  <si>
    <t>$/share</t>
  </si>
  <si>
    <t>&lt;(common stock + retained earnings) / total number of shares</t>
  </si>
  <si>
    <t>Short term liab.</t>
  </si>
  <si>
    <t>Other liab.</t>
  </si>
  <si>
    <t>&lt; .1</t>
  </si>
  <si>
    <t>Light Leverage, consider increasing.</t>
  </si>
  <si>
    <t>Moderately leveraged, stable.</t>
  </si>
  <si>
    <t>Highly leveraged, reduce debt.</t>
  </si>
  <si>
    <t>LEVERAGE OUTCOME</t>
  </si>
  <si>
    <t>&gt;= .1 and &lt; 3.0x</t>
  </si>
  <si>
    <t>&gt;= 3.0x</t>
  </si>
  <si>
    <t>TOTAL LEVERAGE</t>
  </si>
  <si>
    <t>VIEW</t>
  </si>
  <si>
    <t>Cum.EBITDA</t>
  </si>
  <si>
    <t>&lt; 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</si>
</sst>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.00"/>
    <numFmt numFmtId="165" formatCode="&quot;$&quot;#,##0.0"/>
    <numFmt numFmtId="166" formatCode="#,##0.0"/>
    <numFmt numFmtId="167" formatCode="0.0\x"/>
    <numFmt numFmtId="168" formatCode="&quot;$&quot;#,##0"/>
    <numFmt numFmtId="169" formatCode="&quot;€&quot;#,##0.0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0"/>
      <color rgb="FF0066FF"/>
      <name val="Arial"/>
      <family val="2"/>
    </font>
    <font>
      <b/>
      <sz val="10"/>
      <name val="Arial"/>
      <family val="2"/>
    </font>
    <font>
      <sz val="10"/>
      <name val="Times New Roman"/>
      <family val="1"/>
    </font>
    <font>
      <u val="double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3"/>
      </patternFill>
    </fill>
    <fill>
      <patternFill patternType="solid">
        <fgColor theme="0" tint="-4.9989318521683403E-2"/>
        <bgColor indexed="63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C00000"/>
      </bottom>
      <diagonal/>
    </border>
    <border>
      <left/>
      <right/>
      <top/>
      <bottom style="thin">
        <color rgb="FFC0000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5">
    <xf numFmtId="0" fontId="0" fillId="0" borderId="0"/>
    <xf numFmtId="0" fontId="3" fillId="0" borderId="0"/>
    <xf numFmtId="0" fontId="7" fillId="0" borderId="0"/>
    <xf numFmtId="0" fontId="7" fillId="0" borderId="0"/>
    <xf numFmtId="0" fontId="3" fillId="0" borderId="0"/>
  </cellStyleXfs>
  <cellXfs count="45">
    <xf numFmtId="0" fontId="0" fillId="0" borderId="0" xfId="0"/>
    <xf numFmtId="0" fontId="4" fillId="0" borderId="0" xfId="1" applyFont="1"/>
    <xf numFmtId="0" fontId="3" fillId="0" borderId="0" xfId="1"/>
    <xf numFmtId="0" fontId="6" fillId="0" borderId="0" xfId="1" applyFont="1"/>
    <xf numFmtId="0" fontId="3" fillId="0" borderId="0" xfId="1" applyFill="1" applyBorder="1"/>
    <xf numFmtId="0" fontId="2" fillId="0" borderId="0" xfId="0" applyFont="1"/>
    <xf numFmtId="0" fontId="6" fillId="0" borderId="0" xfId="1" applyFont="1" applyFill="1" applyBorder="1"/>
    <xf numFmtId="165" fontId="5" fillId="2" borderId="1" xfId="1" applyNumberFormat="1" applyFont="1" applyFill="1" applyBorder="1"/>
    <xf numFmtId="166" fontId="5" fillId="2" borderId="1" xfId="1" applyNumberFormat="1" applyFont="1" applyFill="1" applyBorder="1"/>
    <xf numFmtId="166" fontId="0" fillId="0" borderId="0" xfId="0" applyNumberFormat="1"/>
    <xf numFmtId="0" fontId="2" fillId="0" borderId="0" xfId="0" applyFont="1" applyAlignment="1">
      <alignment horizontal="left" indent="1"/>
    </xf>
    <xf numFmtId="165" fontId="0" fillId="0" borderId="0" xfId="0" applyNumberFormat="1"/>
    <xf numFmtId="167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165" fontId="8" fillId="0" borderId="0" xfId="0" applyNumberFormat="1" applyFont="1"/>
    <xf numFmtId="0" fontId="0" fillId="0" borderId="2" xfId="0" applyBorder="1"/>
    <xf numFmtId="0" fontId="0" fillId="0" borderId="3" xfId="0" applyBorder="1"/>
    <xf numFmtId="166" fontId="0" fillId="0" borderId="3" xfId="0" applyNumberFormat="1" applyBorder="1"/>
    <xf numFmtId="167" fontId="0" fillId="0" borderId="3" xfId="0" applyNumberFormat="1" applyBorder="1"/>
    <xf numFmtId="164" fontId="0" fillId="0" borderId="0" xfId="0" applyNumberFormat="1"/>
    <xf numFmtId="0" fontId="2" fillId="0" borderId="0" xfId="0" quotePrefix="1" applyFont="1"/>
    <xf numFmtId="0" fontId="2" fillId="0" borderId="0" xfId="0" applyFont="1" applyBorder="1"/>
    <xf numFmtId="0" fontId="1" fillId="3" borderId="0" xfId="0" applyFont="1" applyFill="1" applyAlignment="1">
      <alignment horizontal="center"/>
    </xf>
    <xf numFmtId="0" fontId="10" fillId="4" borderId="4" xfId="0" applyFont="1" applyFill="1" applyBorder="1" applyAlignment="1">
      <alignment horizontal="center" vertical="center" wrapText="1"/>
    </xf>
    <xf numFmtId="168" fontId="9" fillId="5" borderId="4" xfId="0" applyNumberFormat="1" applyFont="1" applyFill="1" applyBorder="1" applyAlignment="1">
      <alignment horizontal="right" vertical="top" wrapText="1"/>
    </xf>
    <xf numFmtId="0" fontId="0" fillId="0" borderId="0" xfId="0" applyFill="1"/>
    <xf numFmtId="168" fontId="9" fillId="0" borderId="0" xfId="0" applyNumberFormat="1" applyFont="1" applyFill="1" applyBorder="1" applyAlignment="1">
      <alignment horizontal="right" vertical="top" wrapText="1"/>
    </xf>
    <xf numFmtId="168" fontId="9" fillId="5" borderId="4" xfId="0" quotePrefix="1" applyNumberFormat="1" applyFont="1" applyFill="1" applyBorder="1" applyAlignment="1">
      <alignment horizontal="right" vertical="top" wrapText="1"/>
    </xf>
    <xf numFmtId="0" fontId="1" fillId="3" borderId="0" xfId="0" applyFont="1" applyFill="1" applyAlignment="1">
      <alignment vertical="center"/>
    </xf>
    <xf numFmtId="14" fontId="1" fillId="3" borderId="0" xfId="0" applyNumberFormat="1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2" fillId="0" borderId="7" xfId="0" applyFont="1" applyBorder="1"/>
    <xf numFmtId="0" fontId="2" fillId="0" borderId="6" xfId="0" applyFont="1" applyBorder="1"/>
    <xf numFmtId="167" fontId="0" fillId="0" borderId="6" xfId="0" applyNumberFormat="1" applyBorder="1"/>
    <xf numFmtId="0" fontId="6" fillId="0" borderId="6" xfId="1" applyFont="1" applyBorder="1"/>
    <xf numFmtId="0" fontId="0" fillId="0" borderId="0" xfId="0" applyBorder="1"/>
    <xf numFmtId="167" fontId="0" fillId="0" borderId="0" xfId="0" applyNumberFormat="1" applyBorder="1"/>
    <xf numFmtId="169" fontId="8" fillId="0" borderId="0" xfId="0" applyNumberFormat="1" applyFont="1" applyBorder="1"/>
    <xf numFmtId="169" fontId="0" fillId="0" borderId="0" xfId="0" applyNumberFormat="1" applyBorder="1"/>
    <xf numFmtId="169" fontId="0" fillId="0" borderId="6" xfId="0" applyNumberFormat="1" applyBorder="1"/>
    <xf numFmtId="169" fontId="0" fillId="0" borderId="7" xfId="0" applyNumberFormat="1" applyBorder="1"/>
    <xf numFmtId="0" fontId="1" fillId="3" borderId="5" xfId="0" applyFont="1" applyFill="1" applyBorder="1" applyAlignment="1">
      <alignment horizontal="center"/>
    </xf>
  </cellXfs>
  <cellStyles count="5">
    <cellStyle name="]_x000d__x000a_Zoomed=1_x000d__x000a_Row=0_x000d__x000a_Column=0_x000d__x000a_Height=0_x000d__x000a_Width=0_x000d__x000a_FontName=FoxFont_x000d__x000a_FontStyle=0_x000d__x000a_FontSize=9_x000d__x000a_PrtFontName=FoxPrin" xfId="2" xr:uid="{00000000-0005-0000-0000-000000000000}"/>
    <cellStyle name="Normal" xfId="0" builtinId="0"/>
    <cellStyle name="Normal 2" xfId="1" xr:uid="{00000000-0005-0000-0000-000002000000}"/>
    <cellStyle name="Normal 2 2" xfId="4" xr:uid="{00000000-0005-0000-0000-000003000000}"/>
    <cellStyle name="Normal 3" xfId="3" xr:uid="{00000000-0005-0000-0000-000004000000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27</xdr:row>
      <xdr:rowOff>47625</xdr:rowOff>
    </xdr:from>
    <xdr:to>
      <xdr:col>4</xdr:col>
      <xdr:colOff>142875</xdr:colOff>
      <xdr:row>32</xdr:row>
      <xdr:rowOff>0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90950" y="5191125"/>
          <a:ext cx="76200" cy="9048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</xdr:colOff>
      <xdr:row>20</xdr:row>
      <xdr:rowOff>28575</xdr:rowOff>
    </xdr:from>
    <xdr:to>
      <xdr:col>4</xdr:col>
      <xdr:colOff>133350</xdr:colOff>
      <xdr:row>24</xdr:row>
      <xdr:rowOff>171450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81425" y="3838575"/>
          <a:ext cx="76200" cy="9048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600075</xdr:colOff>
      <xdr:row>18</xdr:row>
      <xdr:rowOff>76200</xdr:rowOff>
    </xdr:from>
    <xdr:to>
      <xdr:col>6</xdr:col>
      <xdr:colOff>180975</xdr:colOff>
      <xdr:row>21</xdr:row>
      <xdr:rowOff>171449</xdr:rowOff>
    </xdr:to>
    <xdr:sp macro="" textlink="">
      <xdr:nvSpPr>
        <xdr:cNvPr id="5" name="Line Callout 2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24350" y="3505200"/>
          <a:ext cx="800100" cy="666749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16206"/>
            <a:gd name="adj6" fmla="val -39524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Each asset is divided by EBITDA</a:t>
          </a:r>
        </a:p>
      </xdr:txBody>
    </xdr:sp>
    <xdr:clientData/>
  </xdr:twoCellAnchor>
  <xdr:twoCellAnchor>
    <xdr:from>
      <xdr:col>5</xdr:col>
      <xdr:colOff>57149</xdr:colOff>
      <xdr:row>25</xdr:row>
      <xdr:rowOff>180973</xdr:rowOff>
    </xdr:from>
    <xdr:to>
      <xdr:col>6</xdr:col>
      <xdr:colOff>504824</xdr:colOff>
      <xdr:row>31</xdr:row>
      <xdr:rowOff>0</xdr:rowOff>
    </xdr:to>
    <xdr:sp macro="" textlink="">
      <xdr:nvSpPr>
        <xdr:cNvPr id="6" name="Line Callout 2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391024" y="4943473"/>
          <a:ext cx="1057275" cy="962027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88403"/>
            <a:gd name="adj6" fmla="val -4666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Each liability/equity item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is divided by EBITDA</a:t>
          </a:r>
        </a:p>
      </xdr:txBody>
    </xdr:sp>
    <xdr:clientData/>
  </xdr:twoCellAnchor>
  <xdr:oneCellAnchor>
    <xdr:from>
      <xdr:col>6</xdr:col>
      <xdr:colOff>283593</xdr:colOff>
      <xdr:row>5</xdr:row>
      <xdr:rowOff>148086</xdr:rowOff>
    </xdr:from>
    <xdr:ext cx="5862728" cy="25925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5234796" y="1091600"/>
              <a:ext cx="5862728" cy="2592597"/>
            </a:xfrm>
            <a:prstGeom prst="rect">
              <a:avLst/>
            </a:prstGeom>
            <a:ln w="1905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US" sz="1100" b="1" i="1">
                      <a:solidFill>
                        <a:srgbClr val="0000FF"/>
                      </a:solidFill>
                      <a:latin typeface="Cambria Math" panose="02040503050406030204" pitchFamily="18" charset="0"/>
                    </a:rPr>
                    <m:t>𝑻𝒂𝒔𝒌</m:t>
                  </m:r>
                  <m:r>
                    <a:rPr lang="en-US" sz="1100" b="1" i="1">
                      <a:solidFill>
                        <a:srgbClr val="0000FF"/>
                      </a:solidFill>
                      <a:latin typeface="Cambria Math" panose="02040503050406030204" pitchFamily="18" charset="0"/>
                    </a:rPr>
                    <m:t> </m:t>
                  </m:r>
                  <m:r>
                    <a:rPr lang="en-US" sz="1100" b="1" i="1">
                      <a:solidFill>
                        <a:srgbClr val="0000FF"/>
                      </a:solidFill>
                      <a:latin typeface="Cambria Math" panose="02040503050406030204" pitchFamily="18" charset="0"/>
                    </a:rPr>
                    <m:t>𝟏</m:t>
                  </m:r>
                  <m:r>
                    <a:rPr lang="en-US" sz="1100" b="1" i="1">
                      <a:solidFill>
                        <a:srgbClr val="0000FF"/>
                      </a:solidFill>
                      <a:latin typeface="Cambria Math" panose="02040503050406030204" pitchFamily="18" charset="0"/>
                    </a:rPr>
                    <m:t>:</m:t>
                  </m:r>
                </m:oMath>
              </a14:m>
              <a:r>
                <a:rPr lang="en-US" sz="1100" b="1" i="1">
                  <a:solidFill>
                    <a:srgbClr val="0000FF"/>
                  </a:solidFill>
                  <a:latin typeface="Cambria Math" panose="02040503050406030204" pitchFamily="18" charset="0"/>
                </a:rPr>
                <a:t> Formatting Cap Table (USING</a:t>
              </a:r>
              <a:r>
                <a:rPr lang="en-US" sz="1100" b="1" i="1" baseline="0">
                  <a:solidFill>
                    <a:srgbClr val="0000FF"/>
                  </a:solidFill>
                  <a:latin typeface="Cambria Math" panose="02040503050406030204" pitchFamily="18" charset="0"/>
                </a:rPr>
                <a:t> RECORDER)</a:t>
              </a:r>
              <a:endParaRPr lang="en-US" sz="1100" b="1" i="1">
                <a:solidFill>
                  <a:srgbClr val="0000FF"/>
                </a:solidFill>
                <a:latin typeface="Cambria Math" panose="02040503050406030204" pitchFamily="18" charset="0"/>
              </a:endParaRPr>
            </a:p>
            <a:p>
              <a:endParaRPr lang="en-US" sz="1100" b="1" i="1">
                <a:solidFill>
                  <a:srgbClr val="0000FF"/>
                </a:solidFill>
                <a:latin typeface="Cambria Math" panose="02040503050406030204" pitchFamily="18" charset="0"/>
              </a:endParaRPr>
            </a:p>
            <a:p>
              <a:r>
                <a:rPr lang="en-US" sz="1100" b="1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Take values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from user inputted cells A4:A14 and E4:E11 and create capitalization table below</a:t>
              </a:r>
              <a:endParaRPr lang="en-US">
                <a:effectLst/>
              </a:endParaRPr>
            </a:p>
            <a:p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Cap table should run cumulative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EBITDA multiples </a:t>
              </a:r>
              <a:endParaRPr lang="en-US">
                <a:effectLst/>
              </a:endParaRPr>
            </a:p>
            <a:p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Pay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particular attention to the formatting detail of this table</a:t>
              </a:r>
            </a:p>
            <a:p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Make sure your program is clean (i.e., without unnecessary code)</a:t>
              </a:r>
              <a:endParaRPr lang="en-US">
                <a:effectLst/>
              </a:endParaRPr>
            </a:p>
            <a:p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Include button to run your procedure</a:t>
              </a:r>
              <a:endParaRPr lang="en-US">
                <a:effectLst/>
              </a:endParaRPr>
            </a:p>
            <a:p>
              <a:endParaRPr lang="en-US" sz="1100" b="1" i="1">
                <a:solidFill>
                  <a:srgbClr val="0000FF"/>
                </a:solidFill>
                <a:latin typeface="Cambria Math" panose="02040503050406030204" pitchFamily="18" charset="0"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Cambria Math" panose="02040503050406030204" pitchFamily="18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a:rPr lang="en-US" sz="1100" b="1" i="1">
                      <a:solidFill>
                        <a:srgbClr val="0000FF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𝑻𝒂𝒔𝒌</m:t>
                  </m:r>
                  <m:r>
                    <a:rPr lang="en-US" sz="1100" b="1" i="1">
                      <a:solidFill>
                        <a:srgbClr val="0000FF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 </m:t>
                  </m:r>
                  <m:r>
                    <a:rPr lang="en-US" sz="1100" b="1" i="1">
                      <a:solidFill>
                        <a:srgbClr val="0000FF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𝟐</m:t>
                  </m:r>
                  <m:r>
                    <a:rPr lang="en-US" sz="1100" b="1" i="1">
                      <a:solidFill>
                        <a:srgbClr val="0000FF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:</m:t>
                  </m:r>
                </m:oMath>
              </a14:m>
              <a:r>
                <a:rPr lang="en-US" sz="1100" b="1" i="1">
                  <a:solidFill>
                    <a:srgbClr val="0000FF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Leverage Outcome</a:t>
              </a:r>
              <a:endParaRPr lang="en-US">
                <a:solidFill>
                  <a:srgbClr val="0000FF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Cambria Math" panose="02040503050406030204" pitchFamily="18" charset="0"/>
              </a:endParaRPr>
            </a:p>
            <a:p>
              <a:r>
                <a:rPr lang="en-US" sz="1100" b="1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Prepare IF-THEN statement that conditions on TOTAL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LEVERAGE</a:t>
              </a:r>
              <a:endParaRPr lang="en-US" sz="11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 b="1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where TOTAL LEVERAGE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=  ('Short term liab." + "Long term debt" + "Other liab.") / EBITDA</a:t>
              </a:r>
            </a:p>
            <a:p>
              <a:endParaRPr lang="en-US" sz="1100" b="1" i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Prepare &lt;&lt;MsgBox&gt;&gt;  with Leverage View from table above</a:t>
              </a:r>
            </a:p>
            <a:p>
              <a:endParaRPr lang="en-US" sz="1100" b="1" i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>
                <a:effectLst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5234796" y="1091600"/>
              <a:ext cx="5862728" cy="2592597"/>
            </a:xfrm>
            <a:prstGeom prst="rect">
              <a:avLst/>
            </a:prstGeom>
            <a:ln w="1905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1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𝑻𝒂𝒔𝒌 𝟏:</a:t>
              </a:r>
              <a:r>
                <a:rPr lang="en-US" sz="1100" b="1" i="1">
                  <a:solidFill>
                    <a:srgbClr val="0000FF"/>
                  </a:solidFill>
                  <a:latin typeface="Cambria Math" panose="02040503050406030204" pitchFamily="18" charset="0"/>
                </a:rPr>
                <a:t> Formatting Cap Table (USING</a:t>
              </a:r>
              <a:r>
                <a:rPr lang="en-US" sz="1100" b="1" i="1" baseline="0">
                  <a:solidFill>
                    <a:srgbClr val="0000FF"/>
                  </a:solidFill>
                  <a:latin typeface="Cambria Math" panose="02040503050406030204" pitchFamily="18" charset="0"/>
                </a:rPr>
                <a:t> RECORDER)</a:t>
              </a:r>
              <a:endParaRPr lang="en-US" sz="1100" b="1" i="1">
                <a:solidFill>
                  <a:srgbClr val="0000FF"/>
                </a:solidFill>
                <a:latin typeface="Cambria Math" panose="02040503050406030204" pitchFamily="18" charset="0"/>
              </a:endParaRPr>
            </a:p>
            <a:p>
              <a:endParaRPr lang="en-US" sz="1100" b="1" i="1">
                <a:solidFill>
                  <a:srgbClr val="0000FF"/>
                </a:solidFill>
                <a:latin typeface="Cambria Math" panose="02040503050406030204" pitchFamily="18" charset="0"/>
              </a:endParaRPr>
            </a:p>
            <a:p>
              <a:r>
                <a:rPr lang="en-US" sz="1100" b="1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Take values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from user inputted cells A4:A14 and E4:E11 and create capitalization table below</a:t>
              </a:r>
              <a:endParaRPr lang="en-US">
                <a:effectLst/>
              </a:endParaRPr>
            </a:p>
            <a:p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Cap table should run cumulative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EBITDA multiples </a:t>
              </a:r>
              <a:endParaRPr lang="en-US">
                <a:effectLst/>
              </a:endParaRPr>
            </a:p>
            <a:p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Pay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particular attention to the formatting detail of this table</a:t>
              </a:r>
            </a:p>
            <a:p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Make sure your program is clean (i.e., without unnecessary code)</a:t>
              </a:r>
              <a:endParaRPr lang="en-US">
                <a:effectLst/>
              </a:endParaRPr>
            </a:p>
            <a:p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Include button to run your procedure</a:t>
              </a:r>
              <a:endParaRPr lang="en-US">
                <a:effectLst/>
              </a:endParaRPr>
            </a:p>
            <a:p>
              <a:endParaRPr lang="en-US" sz="1100" b="1" i="1">
                <a:solidFill>
                  <a:srgbClr val="0000FF"/>
                </a:solidFill>
                <a:latin typeface="Cambria Math" panose="02040503050406030204" pitchFamily="18" charset="0"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Cambria Math" panose="02040503050406030204" pitchFamily="18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1" i="0">
                  <a:solidFill>
                    <a:srgbClr val="0000FF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𝑻𝒂𝒔𝒌 𝟐:</a:t>
              </a:r>
              <a:r>
                <a:rPr lang="en-US" sz="1100" b="1" i="1">
                  <a:solidFill>
                    <a:srgbClr val="0000FF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Leverage Outcome</a:t>
              </a:r>
              <a:endParaRPr lang="en-US">
                <a:solidFill>
                  <a:srgbClr val="0000FF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Cambria Math" panose="02040503050406030204" pitchFamily="18" charset="0"/>
              </a:endParaRPr>
            </a:p>
            <a:p>
              <a:r>
                <a:rPr lang="en-US" sz="1100" b="1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Prepare IF-THEN statement that conditions on TOTAL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LEVERAGE</a:t>
              </a:r>
              <a:endParaRPr lang="en-US" sz="11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 b="1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where TOTAL LEVERAGE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=  ('Short term liab." + "Long term debt" + "Other liab.") / EBITDA</a:t>
              </a:r>
            </a:p>
            <a:p>
              <a:endParaRPr lang="en-US" sz="1100" b="1" i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Prepare &lt;&lt;MsgBox&gt;&gt;  with Leverage View from table above</a:t>
              </a:r>
            </a:p>
            <a:p>
              <a:endParaRPr lang="en-US" sz="1100" b="1" i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>
                <a:effectLst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7</xdr:col>
      <xdr:colOff>0</xdr:colOff>
      <xdr:row>21</xdr:row>
      <xdr:rowOff>53916</xdr:rowOff>
    </xdr:from>
    <xdr:to>
      <xdr:col>8</xdr:col>
      <xdr:colOff>62901</xdr:colOff>
      <xdr:row>24</xdr:row>
      <xdr:rowOff>8986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562241" y="4016675"/>
          <a:ext cx="1186132" cy="521179"/>
        </a:xfrm>
        <a:prstGeom prst="ellipse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 Run Table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484187</xdr:colOff>
      <xdr:row>23</xdr:row>
      <xdr:rowOff>55563</xdr:rowOff>
    </xdr:from>
    <xdr:to>
      <xdr:col>9</xdr:col>
      <xdr:colOff>325438</xdr:colOff>
      <xdr:row>27</xdr:row>
      <xdr:rowOff>79375</xdr:rowOff>
    </xdr:to>
    <xdr:sp macro="[0]!Capitalization" textlink="">
      <xdr:nvSpPr>
        <xdr:cNvPr id="2" name="Oval 1">
          <a:extLst>
            <a:ext uri="{FF2B5EF4-FFF2-40B4-BE49-F238E27FC236}">
              <a16:creationId xmlns:a16="http://schemas.microsoft.com/office/drawing/2014/main" id="{F28E619B-B33D-42B0-8C92-6A3FBA6EDFAF}"/>
            </a:ext>
          </a:extLst>
        </xdr:cNvPr>
        <xdr:cNvSpPr/>
      </xdr:nvSpPr>
      <xdr:spPr>
        <a:xfrm>
          <a:off x="5540375" y="4437063"/>
          <a:ext cx="1674813" cy="785812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Run Table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38"/>
  <sheetViews>
    <sheetView zoomScale="106" zoomScaleNormal="106" workbookViewId="0">
      <selection activeCell="F7" sqref="F7"/>
    </sheetView>
  </sheetViews>
  <sheetFormatPr defaultRowHeight="15" customHeight="1" x14ac:dyDescent="0.3"/>
  <cols>
    <col min="1" max="1" width="25.6640625" customWidth="1"/>
    <col min="2" max="2" width="13.6640625" customWidth="1"/>
    <col min="3" max="3" width="2.6640625" customWidth="1"/>
    <col min="4" max="4" width="13.6640625" customWidth="1"/>
    <col min="5" max="5" width="9.109375" customWidth="1"/>
    <col min="8" max="8" width="16.88671875" bestFit="1" customWidth="1"/>
    <col min="9" max="9" width="33" bestFit="1" customWidth="1"/>
  </cols>
  <sheetData>
    <row r="1" spans="1:9" ht="15" customHeight="1" x14ac:dyDescent="0.3">
      <c r="A1" s="1" t="s">
        <v>0</v>
      </c>
      <c r="B1" s="2"/>
      <c r="H1" s="44" t="s">
        <v>30</v>
      </c>
      <c r="I1" s="44"/>
    </row>
    <row r="2" spans="1:9" ht="15" customHeight="1" x14ac:dyDescent="0.3">
      <c r="A2" s="1"/>
      <c r="B2" s="2"/>
      <c r="H2" s="24" t="s">
        <v>33</v>
      </c>
      <c r="I2" s="24" t="s">
        <v>34</v>
      </c>
    </row>
    <row r="3" spans="1:9" ht="15" customHeight="1" x14ac:dyDescent="0.3">
      <c r="A3" s="3" t="s">
        <v>5</v>
      </c>
      <c r="B3" s="2"/>
      <c r="D3" s="5" t="s">
        <v>6</v>
      </c>
      <c r="H3" s="25" t="s">
        <v>26</v>
      </c>
      <c r="I3" s="25" t="s">
        <v>27</v>
      </c>
    </row>
    <row r="4" spans="1:9" ht="15" customHeight="1" x14ac:dyDescent="0.3">
      <c r="A4" s="2" t="s">
        <v>1</v>
      </c>
      <c r="B4" s="7">
        <v>80</v>
      </c>
      <c r="D4" s="2" t="s">
        <v>24</v>
      </c>
      <c r="E4" s="7">
        <f>+E11-SUM(E5:E6,E9:E10)</f>
        <v>7</v>
      </c>
      <c r="H4" s="28" t="s">
        <v>31</v>
      </c>
      <c r="I4" s="25" t="s">
        <v>28</v>
      </c>
    </row>
    <row r="5" spans="1:9" ht="15" customHeight="1" x14ac:dyDescent="0.3">
      <c r="A5" s="2" t="s">
        <v>2</v>
      </c>
      <c r="B5" s="8">
        <v>15</v>
      </c>
      <c r="D5" s="2" t="s">
        <v>8</v>
      </c>
      <c r="E5" s="8">
        <v>10</v>
      </c>
      <c r="H5" s="28" t="s">
        <v>32</v>
      </c>
      <c r="I5" s="25" t="s">
        <v>29</v>
      </c>
    </row>
    <row r="6" spans="1:9" ht="15" customHeight="1" x14ac:dyDescent="0.3">
      <c r="A6" s="2" t="s">
        <v>3</v>
      </c>
      <c r="B6" s="8">
        <v>100</v>
      </c>
      <c r="D6" s="4" t="s">
        <v>25</v>
      </c>
      <c r="E6" s="8">
        <v>40</v>
      </c>
    </row>
    <row r="7" spans="1:9" ht="15" customHeight="1" x14ac:dyDescent="0.3">
      <c r="A7" s="2" t="s">
        <v>4</v>
      </c>
      <c r="B7" s="8">
        <v>12</v>
      </c>
    </row>
    <row r="8" spans="1:9" ht="15" customHeight="1" x14ac:dyDescent="0.3">
      <c r="D8" s="6" t="s">
        <v>7</v>
      </c>
    </row>
    <row r="9" spans="1:9" ht="15" customHeight="1" x14ac:dyDescent="0.3">
      <c r="D9" s="2" t="s">
        <v>10</v>
      </c>
      <c r="E9" s="8">
        <v>50</v>
      </c>
    </row>
    <row r="10" spans="1:9" ht="15" customHeight="1" x14ac:dyDescent="0.3">
      <c r="D10" s="2" t="s">
        <v>9</v>
      </c>
      <c r="E10" s="8">
        <v>100</v>
      </c>
    </row>
    <row r="11" spans="1:9" ht="15" customHeight="1" x14ac:dyDescent="0.3">
      <c r="A11" s="3" t="s">
        <v>14</v>
      </c>
      <c r="B11" s="8">
        <f>SUM(B4:B7)</f>
        <v>207</v>
      </c>
      <c r="D11" s="6" t="s">
        <v>18</v>
      </c>
      <c r="E11" s="8">
        <f>+B11</f>
        <v>207</v>
      </c>
    </row>
    <row r="13" spans="1:9" ht="15" customHeight="1" x14ac:dyDescent="0.3">
      <c r="A13" s="3" t="s">
        <v>17</v>
      </c>
      <c r="B13" s="8">
        <v>60</v>
      </c>
    </row>
    <row r="14" spans="1:9" ht="15" customHeight="1" x14ac:dyDescent="0.3">
      <c r="A14" s="5" t="s">
        <v>21</v>
      </c>
      <c r="B14" s="8">
        <v>2.7</v>
      </c>
    </row>
    <row r="16" spans="1:9" ht="15" customHeight="1" x14ac:dyDescent="0.3">
      <c r="H16" s="26"/>
      <c r="I16" s="26"/>
    </row>
    <row r="17" spans="1:9" ht="15" customHeight="1" x14ac:dyDescent="0.3">
      <c r="H17" s="27"/>
      <c r="I17" s="27"/>
    </row>
    <row r="18" spans="1:9" ht="15" customHeight="1" x14ac:dyDescent="0.3">
      <c r="A18" s="13"/>
      <c r="B18" s="23" t="s">
        <v>12</v>
      </c>
      <c r="C18" s="13"/>
      <c r="D18" s="13" t="s">
        <v>11</v>
      </c>
    </row>
    <row r="19" spans="1:9" ht="15" customHeight="1" x14ac:dyDescent="0.3">
      <c r="A19" s="13" t="s">
        <v>20</v>
      </c>
      <c r="B19" s="14">
        <f ca="1">TODAY()</f>
        <v>44446</v>
      </c>
      <c r="C19" s="13"/>
      <c r="D19" s="13" t="s">
        <v>13</v>
      </c>
    </row>
    <row r="21" spans="1:9" ht="15" customHeight="1" x14ac:dyDescent="0.3">
      <c r="A21" t="s">
        <v>1</v>
      </c>
      <c r="B21" s="15">
        <v>80</v>
      </c>
      <c r="D21" s="12">
        <f>B21/$B$35</f>
        <v>1.3333333333333333</v>
      </c>
    </row>
    <row r="22" spans="1:9" ht="15" customHeight="1" x14ac:dyDescent="0.3">
      <c r="D22" s="12"/>
    </row>
    <row r="23" spans="1:9" ht="15" customHeight="1" x14ac:dyDescent="0.3">
      <c r="A23" t="s">
        <v>2</v>
      </c>
      <c r="B23" s="9">
        <v>15</v>
      </c>
      <c r="D23" s="12">
        <f>B23/$B$35</f>
        <v>0.25</v>
      </c>
    </row>
    <row r="24" spans="1:9" ht="15" customHeight="1" x14ac:dyDescent="0.3">
      <c r="A24" t="s">
        <v>3</v>
      </c>
      <c r="B24" s="9">
        <v>100</v>
      </c>
      <c r="D24" s="12">
        <f>B24/$B$35</f>
        <v>1.6666666666666667</v>
      </c>
    </row>
    <row r="25" spans="1:9" ht="15" customHeight="1" x14ac:dyDescent="0.3">
      <c r="A25" s="17" t="s">
        <v>4</v>
      </c>
      <c r="B25" s="18">
        <v>12</v>
      </c>
      <c r="C25" s="17"/>
      <c r="D25" s="19">
        <f t="shared" ref="D25:D26" si="0">B25/$B$35</f>
        <v>0.2</v>
      </c>
    </row>
    <row r="26" spans="1:9" ht="15" customHeight="1" x14ac:dyDescent="0.3">
      <c r="A26" s="10" t="s">
        <v>14</v>
      </c>
      <c r="B26" s="11">
        <v>207</v>
      </c>
      <c r="D26" s="12">
        <f t="shared" si="0"/>
        <v>3.45</v>
      </c>
      <c r="E26" s="21" t="s">
        <v>19</v>
      </c>
    </row>
    <row r="27" spans="1:9" ht="15" customHeight="1" x14ac:dyDescent="0.3">
      <c r="D27" s="12"/>
    </row>
    <row r="28" spans="1:9" ht="15" customHeight="1" x14ac:dyDescent="0.3">
      <c r="A28" t="s">
        <v>24</v>
      </c>
      <c r="B28" s="9">
        <v>7</v>
      </c>
      <c r="D28" s="12">
        <f>B28/$B$35</f>
        <v>0.11666666666666667</v>
      </c>
      <c r="E28" s="20"/>
    </row>
    <row r="29" spans="1:9" ht="15" customHeight="1" x14ac:dyDescent="0.3">
      <c r="A29" t="s">
        <v>8</v>
      </c>
      <c r="B29" s="9">
        <v>10</v>
      </c>
      <c r="D29" s="12">
        <f t="shared" ref="D29:D33" si="1">B29/$B$35</f>
        <v>0.16666666666666666</v>
      </c>
      <c r="E29" s="20"/>
    </row>
    <row r="30" spans="1:9" ht="15" customHeight="1" x14ac:dyDescent="0.3">
      <c r="A30" t="s">
        <v>25</v>
      </c>
      <c r="B30" s="9">
        <v>40</v>
      </c>
      <c r="D30" s="12">
        <f t="shared" si="1"/>
        <v>0.66666666666666663</v>
      </c>
      <c r="E30" s="20"/>
    </row>
    <row r="31" spans="1:9" ht="15" customHeight="1" x14ac:dyDescent="0.3">
      <c r="A31" t="s">
        <v>10</v>
      </c>
      <c r="B31" s="9">
        <v>50</v>
      </c>
      <c r="D31" s="12">
        <f t="shared" si="1"/>
        <v>0.83333333333333337</v>
      </c>
      <c r="E31" s="20"/>
    </row>
    <row r="32" spans="1:9" ht="15" customHeight="1" x14ac:dyDescent="0.3">
      <c r="A32" s="17" t="s">
        <v>9</v>
      </c>
      <c r="B32" s="18">
        <v>100</v>
      </c>
      <c r="C32" s="17"/>
      <c r="D32" s="19">
        <f t="shared" si="1"/>
        <v>1.6666666666666667</v>
      </c>
      <c r="E32" s="20"/>
    </row>
    <row r="33" spans="1:5" ht="15" customHeight="1" x14ac:dyDescent="0.3">
      <c r="A33" s="10" t="s">
        <v>16</v>
      </c>
      <c r="B33" s="11">
        <v>207</v>
      </c>
      <c r="D33" s="12">
        <f t="shared" si="1"/>
        <v>3.45</v>
      </c>
      <c r="E33" s="21" t="s">
        <v>19</v>
      </c>
    </row>
    <row r="35" spans="1:5" ht="15" customHeight="1" x14ac:dyDescent="0.3">
      <c r="A35" s="5" t="s">
        <v>15</v>
      </c>
      <c r="B35" s="11">
        <v>60</v>
      </c>
    </row>
    <row r="36" spans="1:5" ht="14.4" x14ac:dyDescent="0.3">
      <c r="A36" t="s">
        <v>22</v>
      </c>
      <c r="B36" s="11">
        <f>SUM(E9:E10)/B14</f>
        <v>55.55555555555555</v>
      </c>
      <c r="D36" s="22" t="s">
        <v>23</v>
      </c>
    </row>
    <row r="37" spans="1:5" ht="13.8" customHeight="1" thickBot="1" x14ac:dyDescent="0.35">
      <c r="A37" s="16"/>
      <c r="B37" s="16"/>
      <c r="C37" s="16"/>
      <c r="D37" s="16"/>
    </row>
    <row r="38" spans="1:5" ht="15" customHeight="1" thickTop="1" x14ac:dyDescent="0.3"/>
  </sheetData>
  <mergeCells count="1">
    <mergeCell ref="H1:I1"/>
  </mergeCells>
  <pageMargins left="0.7" right="0.7" top="0.75" bottom="0.75" header="0.3" footer="0.3"/>
  <pageSetup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38"/>
  <sheetViews>
    <sheetView tabSelected="1" zoomScale="96" zoomScaleNormal="96" workbookViewId="0">
      <selection activeCell="G20" sqref="G20"/>
    </sheetView>
  </sheetViews>
  <sheetFormatPr defaultRowHeight="15" customHeight="1" x14ac:dyDescent="0.3"/>
  <cols>
    <col min="1" max="1" width="25.6640625" customWidth="1"/>
    <col min="2" max="2" width="13.6640625" customWidth="1"/>
    <col min="3" max="3" width="2.6640625" customWidth="1"/>
    <col min="4" max="4" width="13.6640625" customWidth="1"/>
    <col min="5" max="5" width="9.109375" customWidth="1"/>
  </cols>
  <sheetData>
    <row r="1" spans="1:5" ht="15" customHeight="1" x14ac:dyDescent="0.3">
      <c r="A1" s="1" t="s">
        <v>0</v>
      </c>
      <c r="B1" s="2"/>
    </row>
    <row r="2" spans="1:5" ht="15" customHeight="1" x14ac:dyDescent="0.3">
      <c r="A2" s="1"/>
      <c r="B2" s="2"/>
    </row>
    <row r="3" spans="1:5" ht="15" customHeight="1" x14ac:dyDescent="0.3">
      <c r="A3" s="3" t="s">
        <v>5</v>
      </c>
      <c r="B3" s="2"/>
      <c r="D3" s="5" t="s">
        <v>6</v>
      </c>
    </row>
    <row r="4" spans="1:5" ht="15" customHeight="1" x14ac:dyDescent="0.3">
      <c r="A4" s="2" t="s">
        <v>1</v>
      </c>
      <c r="B4" s="7">
        <v>80</v>
      </c>
      <c r="D4" s="2" t="s">
        <v>24</v>
      </c>
      <c r="E4" s="7">
        <f>+E11-SUM(E5:E6,E9:E10)</f>
        <v>7</v>
      </c>
    </row>
    <row r="5" spans="1:5" ht="15" customHeight="1" x14ac:dyDescent="0.3">
      <c r="A5" s="2" t="s">
        <v>2</v>
      </c>
      <c r="B5" s="8">
        <v>15</v>
      </c>
      <c r="D5" s="2" t="s">
        <v>8</v>
      </c>
      <c r="E5" s="8">
        <v>10</v>
      </c>
    </row>
    <row r="6" spans="1:5" ht="15" customHeight="1" x14ac:dyDescent="0.3">
      <c r="A6" s="2" t="s">
        <v>3</v>
      </c>
      <c r="B6" s="8">
        <v>100</v>
      </c>
      <c r="D6" s="4" t="s">
        <v>25</v>
      </c>
      <c r="E6" s="8">
        <v>40</v>
      </c>
    </row>
    <row r="7" spans="1:5" ht="15" customHeight="1" x14ac:dyDescent="0.3">
      <c r="A7" s="2" t="s">
        <v>4</v>
      </c>
      <c r="B7" s="8">
        <v>12</v>
      </c>
    </row>
    <row r="8" spans="1:5" ht="15" customHeight="1" x14ac:dyDescent="0.3">
      <c r="D8" s="6" t="s">
        <v>7</v>
      </c>
    </row>
    <row r="9" spans="1:5" ht="15" customHeight="1" x14ac:dyDescent="0.3">
      <c r="D9" s="2" t="s">
        <v>10</v>
      </c>
      <c r="E9" s="8">
        <v>50</v>
      </c>
    </row>
    <row r="10" spans="1:5" ht="15" customHeight="1" x14ac:dyDescent="0.3">
      <c r="D10" s="2" t="s">
        <v>9</v>
      </c>
      <c r="E10" s="8">
        <v>100</v>
      </c>
    </row>
    <row r="11" spans="1:5" ht="15" customHeight="1" x14ac:dyDescent="0.3">
      <c r="A11" s="3" t="s">
        <v>14</v>
      </c>
      <c r="B11" s="8">
        <f>SUM(B4:B7)</f>
        <v>207</v>
      </c>
      <c r="D11" s="6" t="s">
        <v>18</v>
      </c>
      <c r="E11" s="8">
        <f>+B11</f>
        <v>207</v>
      </c>
    </row>
    <row r="13" spans="1:5" ht="15" customHeight="1" x14ac:dyDescent="0.3">
      <c r="A13" s="3" t="s">
        <v>17</v>
      </c>
      <c r="B13" s="8">
        <v>60</v>
      </c>
    </row>
    <row r="14" spans="1:5" ht="15" customHeight="1" x14ac:dyDescent="0.3">
      <c r="A14" s="5" t="s">
        <v>21</v>
      </c>
      <c r="B14" s="8">
        <v>2.7</v>
      </c>
    </row>
    <row r="18" spans="1:5" ht="15" customHeight="1" x14ac:dyDescent="0.3">
      <c r="A18" s="13"/>
      <c r="B18" s="31" t="s">
        <v>12</v>
      </c>
      <c r="C18" s="29"/>
      <c r="D18" s="29" t="s">
        <v>35</v>
      </c>
    </row>
    <row r="19" spans="1:5" ht="15" customHeight="1" x14ac:dyDescent="0.3">
      <c r="A19" s="13" t="s">
        <v>20</v>
      </c>
      <c r="B19" s="30">
        <v>44441</v>
      </c>
      <c r="C19" s="29"/>
      <c r="D19" s="29" t="s">
        <v>13</v>
      </c>
    </row>
    <row r="21" spans="1:5" ht="15" customHeight="1" x14ac:dyDescent="0.3">
      <c r="A21" s="38" t="s">
        <v>1</v>
      </c>
      <c r="B21" s="40">
        <f>B4</f>
        <v>80</v>
      </c>
      <c r="C21" s="38"/>
      <c r="D21" s="39">
        <f>B21/$B$35</f>
        <v>1.3333333333333333</v>
      </c>
      <c r="E21" s="38"/>
    </row>
    <row r="22" spans="1:5" ht="15" customHeight="1" x14ac:dyDescent="0.3">
      <c r="A22" s="38"/>
      <c r="B22" s="41"/>
      <c r="C22" s="38"/>
      <c r="D22" s="39"/>
      <c r="E22" s="38"/>
    </row>
    <row r="23" spans="1:5" ht="15" customHeight="1" x14ac:dyDescent="0.3">
      <c r="A23" s="38" t="str">
        <f>A5</f>
        <v>Short term assets</v>
      </c>
      <c r="B23" s="41">
        <f>B5</f>
        <v>15</v>
      </c>
      <c r="C23" s="38"/>
      <c r="D23" s="39">
        <f t="shared" ref="D23:D33" si="0">B23/$B$35</f>
        <v>0.25</v>
      </c>
      <c r="E23" s="38"/>
    </row>
    <row r="24" spans="1:5" ht="15" customHeight="1" x14ac:dyDescent="0.3">
      <c r="A24" s="38" t="str">
        <f t="shared" ref="A24:B24" si="1">A6</f>
        <v>Long term assets</v>
      </c>
      <c r="B24" s="41">
        <f t="shared" si="1"/>
        <v>100</v>
      </c>
      <c r="C24" s="38"/>
      <c r="D24" s="39">
        <f t="shared" si="0"/>
        <v>1.6666666666666667</v>
      </c>
      <c r="E24" s="38"/>
    </row>
    <row r="25" spans="1:5" ht="15" customHeight="1" x14ac:dyDescent="0.3">
      <c r="A25" s="38" t="str">
        <f t="shared" ref="A25:B25" si="2">A7</f>
        <v>Other assets</v>
      </c>
      <c r="B25" s="41">
        <f t="shared" si="2"/>
        <v>12</v>
      </c>
      <c r="C25" s="38"/>
      <c r="D25" s="39">
        <f t="shared" si="0"/>
        <v>0.2</v>
      </c>
      <c r="E25" s="38"/>
    </row>
    <row r="26" spans="1:5" ht="15" customHeight="1" thickBot="1" x14ac:dyDescent="0.35">
      <c r="A26" s="37" t="s">
        <v>14</v>
      </c>
      <c r="B26" s="42">
        <f>B11</f>
        <v>207</v>
      </c>
      <c r="C26" s="32"/>
      <c r="D26" s="36">
        <f t="shared" si="0"/>
        <v>3.45</v>
      </c>
      <c r="E26" s="22" t="s">
        <v>36</v>
      </c>
    </row>
    <row r="27" spans="1:5" ht="15" customHeight="1" x14ac:dyDescent="0.3">
      <c r="A27" s="38"/>
      <c r="B27" s="41"/>
      <c r="C27" s="38"/>
      <c r="D27" s="39"/>
      <c r="E27" s="38"/>
    </row>
    <row r="28" spans="1:5" ht="15" customHeight="1" x14ac:dyDescent="0.3">
      <c r="A28" s="2" t="s">
        <v>24</v>
      </c>
      <c r="B28" s="41">
        <f>E4</f>
        <v>7</v>
      </c>
      <c r="C28" s="38"/>
      <c r="D28" s="39">
        <f t="shared" si="0"/>
        <v>0.11666666666666667</v>
      </c>
      <c r="E28" s="38"/>
    </row>
    <row r="29" spans="1:5" ht="15" customHeight="1" x14ac:dyDescent="0.3">
      <c r="A29" s="2" t="s">
        <v>8</v>
      </c>
      <c r="B29" s="41">
        <f t="shared" ref="B29:B30" si="3">E5</f>
        <v>10</v>
      </c>
      <c r="C29" s="38"/>
      <c r="D29" s="39">
        <f t="shared" si="0"/>
        <v>0.16666666666666666</v>
      </c>
      <c r="E29" s="38"/>
    </row>
    <row r="30" spans="1:5" ht="15" customHeight="1" x14ac:dyDescent="0.3">
      <c r="A30" s="4" t="s">
        <v>25</v>
      </c>
      <c r="B30" s="41">
        <f t="shared" si="3"/>
        <v>40</v>
      </c>
      <c r="C30" s="38"/>
      <c r="D30" s="39">
        <f t="shared" si="0"/>
        <v>0.66666666666666663</v>
      </c>
      <c r="E30" s="38"/>
    </row>
    <row r="31" spans="1:5" ht="15" customHeight="1" x14ac:dyDescent="0.3">
      <c r="A31" s="2" t="s">
        <v>10</v>
      </c>
      <c r="B31" s="41">
        <f>E9</f>
        <v>50</v>
      </c>
      <c r="C31" s="38"/>
      <c r="D31" s="39">
        <f t="shared" si="0"/>
        <v>0.83333333333333337</v>
      </c>
      <c r="E31" s="38"/>
    </row>
    <row r="32" spans="1:5" ht="15" customHeight="1" x14ac:dyDescent="0.3">
      <c r="A32" s="2" t="s">
        <v>9</v>
      </c>
      <c r="B32" s="41">
        <f>E10</f>
        <v>100</v>
      </c>
      <c r="C32" s="38"/>
      <c r="D32" s="39">
        <f t="shared" si="0"/>
        <v>1.6666666666666667</v>
      </c>
      <c r="E32" s="38"/>
    </row>
    <row r="33" spans="1:5" ht="15" customHeight="1" thickBot="1" x14ac:dyDescent="0.35">
      <c r="A33" s="35" t="s">
        <v>16</v>
      </c>
      <c r="B33" s="42">
        <f>SUM(B28:B32)</f>
        <v>207</v>
      </c>
      <c r="C33" s="32"/>
      <c r="D33" s="36">
        <f t="shared" si="0"/>
        <v>3.45</v>
      </c>
      <c r="E33" s="22" t="s">
        <v>36</v>
      </c>
    </row>
    <row r="34" spans="1:5" ht="15" customHeight="1" x14ac:dyDescent="0.3">
      <c r="A34" s="38"/>
      <c r="B34" s="41"/>
      <c r="C34" s="38"/>
      <c r="D34" s="38"/>
      <c r="E34" s="38"/>
    </row>
    <row r="35" spans="1:5" ht="15" customHeight="1" x14ac:dyDescent="0.3">
      <c r="A35" s="2" t="s">
        <v>15</v>
      </c>
      <c r="B35" s="41">
        <f>B13</f>
        <v>60</v>
      </c>
      <c r="C35" s="38"/>
      <c r="D35" s="38"/>
      <c r="E35" s="38"/>
    </row>
    <row r="36" spans="1:5" ht="15" customHeight="1" thickBot="1" x14ac:dyDescent="0.35">
      <c r="A36" s="33" t="s">
        <v>22</v>
      </c>
      <c r="B36" s="43">
        <f>SUM(E9:E10)/B14</f>
        <v>55.55555555555555</v>
      </c>
      <c r="C36" s="33"/>
      <c r="D36" s="34" t="s">
        <v>23</v>
      </c>
      <c r="E36" s="38"/>
    </row>
    <row r="37" spans="1:5" ht="15" customHeight="1" thickTop="1" x14ac:dyDescent="0.3">
      <c r="A37" s="38"/>
      <c r="B37" s="38"/>
      <c r="C37" s="38"/>
      <c r="D37" s="38"/>
      <c r="E37" s="38"/>
    </row>
    <row r="38" spans="1:5" ht="15" customHeight="1" x14ac:dyDescent="0.3">
      <c r="A38" s="38"/>
      <c r="B38" s="38"/>
      <c r="C38" s="38"/>
      <c r="D38" s="38"/>
      <c r="E38" s="38"/>
    </row>
  </sheetData>
  <pageMargins left="0.7" right="0.7" top="0.75" bottom="0.75" header="0.3" footer="0.3"/>
  <pageSetup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HW1 instruction</vt:lpstr>
      <vt:lpstr>HW1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</dc:creator>
  <cp:lastModifiedBy>Mickael Bertolla</cp:lastModifiedBy>
  <dcterms:created xsi:type="dcterms:W3CDTF">2014-11-09T18:55:58Z</dcterms:created>
  <dcterms:modified xsi:type="dcterms:W3CDTF">2021-09-07T04:17:51Z</dcterms:modified>
</cp:coreProperties>
</file>