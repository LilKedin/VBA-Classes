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ka\Desktop\Cours Raleigh\VBA foundations for Finance\L4\"/>
    </mc:Choice>
  </mc:AlternateContent>
  <xr:revisionPtr revIDLastSave="0" documentId="8_{8A3A8CD9-9374-4EB9-8A47-2DC1F172A303}" xr6:coauthVersionLast="45" xr6:coauthVersionMax="45" xr10:uidLastSave="{00000000-0000-0000-0000-000000000000}"/>
  <bookViews>
    <workbookView xWindow="2268" yWindow="2268" windowWidth="17280" windowHeight="8964" xr2:uid="{00000000-000D-0000-FFFF-FFFF00000000}"/>
  </bookViews>
  <sheets>
    <sheet name="Arrays" sheetId="10" r:id="rId1"/>
    <sheet name="udf arrays" sheetId="9" r:id="rId2"/>
    <sheet name="change case" sheetId="1" r:id="rId3"/>
    <sheet name="spinner" sheetId="3" r:id="rId4"/>
    <sheet name="combo" sheetId="4" r:id="rId5"/>
    <sheet name="binoval" sheetId="7" r:id="rId6"/>
    <sheet name="stock price evolution" sheetId="6" r:id="rId7"/>
  </sheets>
  <functionGroups builtInGroupCount="19"/>
  <externalReferences>
    <externalReference r:id="rId8"/>
    <externalReference r:id="rId9"/>
    <externalReference r:id="rId10"/>
  </externalReferences>
  <definedNames>
    <definedName name="bing" localSheetId="0">#REF!</definedName>
    <definedName name="bing" localSheetId="5">#REF!</definedName>
    <definedName name="bing" localSheetId="6">#REF!</definedName>
    <definedName name="bing">#REF!</definedName>
    <definedName name="BinL" localSheetId="5">#REF!</definedName>
    <definedName name="BinL">#REF!</definedName>
    <definedName name="BinR" localSheetId="5">#REF!</definedName>
    <definedName name="BinR">#REF!</definedName>
    <definedName name="cflow" localSheetId="5">#REF!</definedName>
    <definedName name="cflow">#REF!</definedName>
    <definedName name="cflow1" localSheetId="5">#REF!</definedName>
    <definedName name="cflow1" localSheetId="6">#REF!</definedName>
    <definedName name="cflow1">#REF!</definedName>
    <definedName name="cflow2" localSheetId="5">#REF!</definedName>
    <definedName name="cflow2" localSheetId="6">#REF!</definedName>
    <definedName name="cflow2">#REF!</definedName>
    <definedName name="clfow" localSheetId="5">#REF!</definedName>
    <definedName name="clfow">#REF!</definedName>
    <definedName name="ComRate">[1]Lookup!$F$5:$G$7</definedName>
    <definedName name="days" localSheetId="5">[1]Lookup!$H$33:$J$44</definedName>
    <definedName name="days">#REF!</definedName>
    <definedName name="dvec" localSheetId="5">#REF!</definedName>
    <definedName name="dvec" localSheetId="6">#REF!</definedName>
    <definedName name="dvec">#REF!</definedName>
    <definedName name="dyn">#REF!</definedName>
    <definedName name="Index">[1]Beta!$C$5:$C$64</definedName>
    <definedName name="Interest_Rate">'[2]Financial Analysis'!$D$2</definedName>
    <definedName name="invA">[1]MatDef!$I$17:$K$19</definedName>
    <definedName name="Investment_Amt">'[2]Financial Analysis'!$B$7</definedName>
    <definedName name="lookup" localSheetId="5">#REF!</definedName>
    <definedName name="lookup" localSheetId="6">#REF!</definedName>
    <definedName name="lookup">#REF!</definedName>
    <definedName name="loop1">#REF!</definedName>
    <definedName name="nPeriods22">'[2]Financial Analysis'!$D$5</definedName>
    <definedName name="nPeriods40">'[2]Financial Analysis'!$H$5</definedName>
    <definedName name="_xlnm.Print_Area" localSheetId="0">Arrays!$A$1:$K$18</definedName>
    <definedName name="_xlnm.Print_Area" localSheetId="1">'udf arrays'!$A$1:$R$31</definedName>
    <definedName name="rate" localSheetId="0">#REF!</definedName>
    <definedName name="rate" localSheetId="5">'[3]discount rate vba'!$C$1</definedName>
    <definedName name="rate">#REF!</definedName>
    <definedName name="ShareA">[1]Beta!$B$5:$B$64</definedName>
    <definedName name="threed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9" l="1"/>
  <c r="C15" i="9" a="1"/>
  <c r="E10" i="9"/>
  <c r="F9" i="9"/>
  <c r="E9" i="9"/>
  <c r="D9" i="9"/>
  <c r="F8" i="9"/>
  <c r="E8" i="9"/>
  <c r="D8" i="9"/>
  <c r="F7" i="9"/>
  <c r="E7" i="9"/>
  <c r="D7" i="9"/>
  <c r="F6" i="9"/>
  <c r="E6" i="9"/>
  <c r="D6" i="9"/>
  <c r="F5" i="9"/>
  <c r="E5" i="9"/>
  <c r="D5" i="9"/>
</calcChain>
</file>

<file path=xl/sharedStrings.xml><?xml version="1.0" encoding="utf-8"?>
<sst xmlns="http://schemas.openxmlformats.org/spreadsheetml/2006/main" count="59" uniqueCount="52">
  <si>
    <t>American or Euro</t>
  </si>
  <si>
    <t>Option type (C=1, P=-1)</t>
  </si>
  <si>
    <t xml:space="preserve">Stock price (S) </t>
  </si>
  <si>
    <t>Exercise price (K)</t>
  </si>
  <si>
    <t>Interest rate (r, annual)</t>
  </si>
  <si>
    <t>Dividend yield (q, annual)</t>
  </si>
  <si>
    <t>Upmovement multiplier</t>
  </si>
  <si>
    <t>Down movement multiplier</t>
  </si>
  <si>
    <t>Time to maturity (T, years)</t>
  </si>
  <si>
    <t xml:space="preserve">Number of steps (n) </t>
  </si>
  <si>
    <t>European</t>
  </si>
  <si>
    <r>
      <t>Volatility (</t>
    </r>
    <r>
      <rPr>
        <sz val="10"/>
        <rFont val="Times New Roman"/>
        <family val="1"/>
      </rPr>
      <t>s)</t>
    </r>
  </si>
  <si>
    <t>Stock Evolution (will build to Black-Scholes model)</t>
  </si>
  <si>
    <t>Call / Put option (1 / -1)</t>
  </si>
  <si>
    <t>Rate=</t>
  </si>
  <si>
    <t>Expected Values</t>
  </si>
  <si>
    <t xml:space="preserve">Cflows </t>
  </si>
  <si>
    <t>Probs p(i)</t>
  </si>
  <si>
    <t>Cf(i)</t>
  </si>
  <si>
    <t>Devs</t>
  </si>
  <si>
    <t>p(i)*Cf(i)</t>
  </si>
  <si>
    <t>p(i) * Dev2</t>
  </si>
  <si>
    <r>
      <t>t</t>
    </r>
    <r>
      <rPr>
        <b/>
        <vertAlign val="subscript"/>
        <sz val="10"/>
        <rFont val="Times New Roman"/>
        <family val="1"/>
      </rPr>
      <t>0</t>
    </r>
  </si>
  <si>
    <r>
      <t>t</t>
    </r>
    <r>
      <rPr>
        <b/>
        <vertAlign val="subscript"/>
        <sz val="10"/>
        <rFont val="Times New Roman"/>
        <family val="1"/>
      </rPr>
      <t>1</t>
    </r>
  </si>
  <si>
    <r>
      <t>t</t>
    </r>
    <r>
      <rPr>
        <b/>
        <vertAlign val="subscript"/>
        <sz val="10"/>
        <rFont val="Times New Roman"/>
        <family val="1"/>
      </rPr>
      <t>2</t>
    </r>
  </si>
  <si>
    <r>
      <t>t</t>
    </r>
    <r>
      <rPr>
        <b/>
        <vertAlign val="subscript"/>
        <sz val="10"/>
        <rFont val="Times New Roman"/>
        <family val="1"/>
      </rPr>
      <t>3</t>
    </r>
  </si>
  <si>
    <r>
      <t>t</t>
    </r>
    <r>
      <rPr>
        <b/>
        <vertAlign val="subscript"/>
        <sz val="10"/>
        <rFont val="Times New Roman"/>
        <family val="1"/>
      </rPr>
      <t>4</t>
    </r>
  </si>
  <si>
    <t>Variance</t>
  </si>
  <si>
    <t>Std Dev</t>
  </si>
  <si>
    <t>VBA User-Defined Functions</t>
  </si>
  <si>
    <t>Value</t>
  </si>
  <si>
    <t>Ans</t>
  </si>
  <si>
    <r>
      <rPr>
        <b/>
        <sz val="10"/>
        <color rgb="FF0070C0"/>
        <rFont val="Times New Roman"/>
        <family val="1"/>
      </rPr>
      <t>Ex. 3</t>
    </r>
    <r>
      <rPr>
        <b/>
        <sz val="10"/>
        <rFont val="Times New Roman"/>
        <family val="1"/>
      </rPr>
      <t xml:space="preserve">  Expected Value</t>
    </r>
  </si>
  <si>
    <r>
      <rPr>
        <b/>
        <sz val="10"/>
        <color rgb="FF0070C0"/>
        <rFont val="Times New Roman"/>
        <family val="1"/>
      </rPr>
      <t>Ex. 4</t>
    </r>
    <r>
      <rPr>
        <sz val="10"/>
        <rFont val="Times New Roman"/>
        <family val="1"/>
      </rPr>
      <t xml:space="preserve">  </t>
    </r>
    <r>
      <rPr>
        <b/>
        <sz val="10"/>
        <rFont val="Times New Roman"/>
        <family val="1"/>
      </rPr>
      <t>Variance</t>
    </r>
  </si>
  <si>
    <r>
      <rPr>
        <b/>
        <sz val="10"/>
        <color rgb="FF0070C0"/>
        <rFont val="Times New Roman"/>
        <family val="1"/>
      </rPr>
      <t>Ex. 5</t>
    </r>
    <r>
      <rPr>
        <b/>
        <sz val="10"/>
        <rFont val="Times New Roman"/>
        <family val="1"/>
      </rPr>
      <t xml:space="preserve"> NPV function:</t>
    </r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</si>
  <si>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</si>
  <si>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</si>
  <si>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</si>
  <si>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</si>
  <si>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</si>
  <si>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</si>
  <si>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</si>
  <si>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</si>
  <si>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</si>
  <si>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</si>
  <si>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</si>
  <si>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</si>
  <si>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Male</t>
  </si>
  <si>
    <t>Emily</t>
  </si>
  <si>
    <t>Exercise explores advanced techniques surrounding arrays and related  applications in User-defined functions and Subroutines</t>
  </si>
  <si>
    <t>Exercise 1 &amp; 2. 1D array</t>
  </si>
  <si>
    <t>Exercise 3. 2D 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</si>
</sst>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&quot;$&quot;#,##0.00_);[Red]\(&quot;$&quot;#,##0.00\)"/>
    <numFmt numFmtId="166" formatCode="&quot;$&quot;#,##0.00"/>
    <numFmt numFmtId="167" formatCode="0.0%"/>
    <numFmt numFmtId="168" formatCode="0.000"/>
    <numFmt numFmtId="169" formatCode="0.0000"/>
    <numFmt numFmtId="170" formatCode="&quot;$&quot;#,##0.0_);[Red]\(&quot;$&quot;#,##0.0\)"/>
    <numFmt numFmtId="171" formatCode="0.00_);\(0.00\)"/>
    <numFmt numFmtId="172" formatCode="0.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sz val="10"/>
      <color rgb="FF0066FF"/>
      <name val="Arial"/>
      <family val="2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b/>
      <sz val="10"/>
      <color rgb="FF0070C0"/>
      <name val="Times New Roman"/>
      <family val="1"/>
    </font>
    <font>
      <sz val="11"/>
      <name val="Calibri"/>
      <family val="2"/>
      <scheme val="minor"/>
    </font>
    <font>
      <i/>
      <sz val="10"/>
      <color rgb="FF0000FF"/>
      <name val="Times New Roman"/>
      <family val="1"/>
    </font>
    <font>
      <b/>
      <i/>
      <sz val="1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theme="0" tint="-0.34998626667073579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/>
      <diagonal/>
    </border>
    <border>
      <left style="medium">
        <color rgb="FFFFFF00"/>
      </left>
      <right style="medium">
        <color rgb="FFFFFF00"/>
      </right>
      <top/>
      <bottom style="medium">
        <color rgb="FFFFFF00"/>
      </bottom>
      <diagonal/>
    </border>
    <border>
      <left style="medium">
        <color rgb="FFFFFF00"/>
      </left>
      <right style="medium">
        <color rgb="FFFFFF00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59">
    <xf numFmtId="0" fontId="0" fillId="0" borderId="0" xfId="0"/>
    <xf numFmtId="0" fontId="2" fillId="0" borderId="0" xfId="1" applyFont="1"/>
    <xf numFmtId="0" fontId="1" fillId="0" borderId="0" xfId="1"/>
    <xf numFmtId="164" fontId="1" fillId="0" borderId="0" xfId="1" applyNumberFormat="1"/>
    <xf numFmtId="10" fontId="0" fillId="0" borderId="0" xfId="0" applyNumberFormat="1"/>
    <xf numFmtId="0" fontId="4" fillId="3" borderId="3" xfId="0" quotePrefix="1" applyFont="1" applyFill="1" applyBorder="1"/>
    <xf numFmtId="0" fontId="4" fillId="3" borderId="3" xfId="0" quotePrefix="1" applyFont="1" applyFill="1" applyBorder="1" applyAlignment="1">
      <alignment horizontal="center"/>
    </xf>
    <xf numFmtId="2" fontId="1" fillId="0" borderId="0" xfId="1" applyNumberFormat="1"/>
    <xf numFmtId="166" fontId="1" fillId="0" borderId="0" xfId="1" applyNumberFormat="1"/>
    <xf numFmtId="167" fontId="4" fillId="3" borderId="3" xfId="0" quotePrefix="1" applyNumberFormat="1" applyFont="1" applyFill="1" applyBorder="1"/>
    <xf numFmtId="168" fontId="4" fillId="3" borderId="3" xfId="0" quotePrefix="1" applyNumberFormat="1" applyFont="1" applyFill="1" applyBorder="1"/>
    <xf numFmtId="9" fontId="4" fillId="3" borderId="3" xfId="0" quotePrefix="1" applyNumberFormat="1" applyFont="1" applyFill="1" applyBorder="1"/>
    <xf numFmtId="165" fontId="4" fillId="3" borderId="3" xfId="0" quotePrefix="1" applyNumberFormat="1" applyFont="1" applyFill="1" applyBorder="1"/>
    <xf numFmtId="166" fontId="6" fillId="4" borderId="4" xfId="1" applyNumberFormat="1" applyFont="1" applyFill="1" applyBorder="1"/>
    <xf numFmtId="169" fontId="6" fillId="4" borderId="4" xfId="1" applyNumberFormat="1" applyFont="1" applyFill="1" applyBorder="1"/>
    <xf numFmtId="0" fontId="6" fillId="4" borderId="4" xfId="1" applyFont="1" applyFill="1" applyBorder="1"/>
    <xf numFmtId="164" fontId="0" fillId="0" borderId="0" xfId="0" applyNumberFormat="1"/>
    <xf numFmtId="3" fontId="6" fillId="4" borderId="4" xfId="1" applyNumberFormat="1" applyFont="1" applyFill="1" applyBorder="1"/>
    <xf numFmtId="0" fontId="7" fillId="0" borderId="0" xfId="2" applyFont="1"/>
    <xf numFmtId="9" fontId="3" fillId="5" borderId="5" xfId="2" applyNumberFormat="1" applyFont="1" applyFill="1" applyBorder="1"/>
    <xf numFmtId="0" fontId="5" fillId="0" borderId="0" xfId="2" applyFont="1"/>
    <xf numFmtId="0" fontId="7" fillId="0" borderId="0" xfId="2" applyFont="1" applyAlignment="1">
      <alignment horizontal="center"/>
    </xf>
    <xf numFmtId="0" fontId="7" fillId="0" borderId="0" xfId="2" quotePrefix="1" applyFont="1" applyBorder="1" applyAlignment="1">
      <alignment horizontal="center"/>
    </xf>
    <xf numFmtId="0" fontId="5" fillId="0" borderId="0" xfId="2" applyFont="1" applyBorder="1"/>
    <xf numFmtId="170" fontId="5" fillId="0" borderId="0" xfId="2" applyNumberFormat="1" applyFont="1" applyBorder="1"/>
    <xf numFmtId="171" fontId="5" fillId="0" borderId="0" xfId="2" applyNumberFormat="1" applyFont="1" applyBorder="1"/>
    <xf numFmtId="40" fontId="5" fillId="0" borderId="0" xfId="2" applyNumberFormat="1" applyFont="1" applyBorder="1"/>
    <xf numFmtId="0" fontId="5" fillId="0" borderId="6" xfId="2" applyFont="1" applyBorder="1"/>
    <xf numFmtId="40" fontId="5" fillId="0" borderId="6" xfId="2" applyNumberFormat="1" applyFont="1" applyBorder="1"/>
    <xf numFmtId="171" fontId="5" fillId="0" borderId="6" xfId="2" applyNumberFormat="1" applyFont="1" applyBorder="1"/>
    <xf numFmtId="0" fontId="7" fillId="0" borderId="0" xfId="2" applyFont="1" applyBorder="1"/>
    <xf numFmtId="172" fontId="7" fillId="0" borderId="0" xfId="2" applyNumberFormat="1" applyFont="1" applyBorder="1"/>
    <xf numFmtId="0" fontId="7" fillId="0" borderId="0" xfId="2" applyFont="1" applyAlignment="1">
      <alignment horizontal="left" indent="2"/>
    </xf>
    <xf numFmtId="0" fontId="5" fillId="0" borderId="0" xfId="2" applyFont="1" applyAlignment="1">
      <alignment horizontal="left" indent="2"/>
    </xf>
    <xf numFmtId="0" fontId="5" fillId="0" borderId="0" xfId="2" quotePrefix="1" applyFont="1"/>
    <xf numFmtId="0" fontId="7" fillId="6" borderId="7" xfId="2" applyFont="1" applyFill="1" applyBorder="1" applyAlignment="1">
      <alignment horizontal="center"/>
    </xf>
    <xf numFmtId="0" fontId="7" fillId="6" borderId="9" xfId="2" applyFont="1" applyFill="1" applyBorder="1" applyAlignment="1">
      <alignment horizontal="center"/>
    </xf>
    <xf numFmtId="172" fontId="5" fillId="6" borderId="9" xfId="2" applyNumberFormat="1" applyFont="1" applyFill="1" applyBorder="1" applyAlignment="1">
      <alignment horizontal="center"/>
    </xf>
    <xf numFmtId="165" fontId="7" fillId="6" borderId="8" xfId="2" applyNumberFormat="1" applyFont="1" applyFill="1" applyBorder="1" applyAlignment="1">
      <alignment horizontal="center"/>
    </xf>
    <xf numFmtId="2" fontId="11" fillId="0" borderId="0" xfId="2" applyNumberFormat="1" applyFont="1"/>
    <xf numFmtId="2" fontId="12" fillId="0" borderId="0" xfId="2" quotePrefix="1" applyNumberFormat="1" applyFont="1"/>
    <xf numFmtId="0" fontId="12" fillId="0" borderId="0" xfId="2" quotePrefix="1" applyFont="1"/>
    <xf numFmtId="0" fontId="12" fillId="0" borderId="0" xfId="2" applyFont="1" applyAlignment="1">
      <alignment horizontal="left" indent="3"/>
    </xf>
    <xf numFmtId="0" fontId="0" fillId="0" borderId="0" xfId="0" applyFill="1"/>
    <xf numFmtId="0" fontId="0" fillId="0" borderId="0" xfId="0" applyFill="1" applyBorder="1" applyAlignment="1">
      <alignment horizontal="center"/>
    </xf>
    <xf numFmtId="2" fontId="7" fillId="0" borderId="0" xfId="2" applyNumberFormat="1" applyFont="1" applyFill="1"/>
    <xf numFmtId="0" fontId="10" fillId="0" borderId="0" xfId="0" applyFont="1" applyFill="1"/>
    <xf numFmtId="2" fontId="7" fillId="0" borderId="0" xfId="2" applyNumberFormat="1" applyFont="1" applyFill="1" applyBorder="1"/>
    <xf numFmtId="2" fontId="10" fillId="0" borderId="0" xfId="0" applyNumberFormat="1" applyFont="1" applyFill="1"/>
    <xf numFmtId="0" fontId="0" fillId="0" borderId="9" xfId="0" applyFill="1" applyBorder="1" applyAlignment="1">
      <alignment horizontal="center"/>
    </xf>
    <xf numFmtId="10" fontId="2" fillId="0" borderId="0" xfId="1" applyNumberFormat="1" applyFont="1"/>
    <xf numFmtId="171" fontId="7" fillId="0" borderId="0" xfId="2" applyNumberFormat="1" applyFont="1" applyBorder="1"/>
    <xf numFmtId="0" fontId="13" fillId="0" borderId="0" xfId="0" quotePrefix="1" applyFont="1"/>
    <xf numFmtId="1" fontId="0" fillId="0" borderId="0" xfId="0" applyNumberFormat="1"/>
    <xf numFmtId="169" fontId="0" fillId="0" borderId="0" xfId="0" applyNumberFormat="1"/>
    <xf numFmtId="0" fontId="13" fillId="7" borderId="0" xfId="0" applyFont="1" applyFill="1"/>
    <xf numFmtId="0" fontId="14" fillId="0" borderId="0" xfId="0" quotePrefix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4" xfId="2" xr:uid="{00000000-0005-0000-0000-000002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3</xdr:row>
      <xdr:rowOff>30480</xdr:rowOff>
    </xdr:from>
    <xdr:to>
      <xdr:col>6</xdr:col>
      <xdr:colOff>502920</xdr:colOff>
      <xdr:row>5</xdr:row>
      <xdr:rowOff>99060</xdr:rowOff>
    </xdr:to>
    <xdr:sp macro="[0]!runcase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65120" y="579120"/>
          <a:ext cx="1417320" cy="43434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CaseOptions</a:t>
          </a:r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2</xdr:row>
      <xdr:rowOff>171450</xdr:rowOff>
    </xdr:from>
    <xdr:to>
      <xdr:col>5</xdr:col>
      <xdr:colOff>323850</xdr:colOff>
      <xdr:row>6</xdr:row>
      <xdr:rowOff>28575</xdr:rowOff>
    </xdr:to>
    <xdr:sp macro="[0]!StkTree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625215" y="552450"/>
          <a:ext cx="981075" cy="58864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Move</a:t>
          </a:r>
          <a:r>
            <a:rPr lang="en-US" sz="1100" b="1" baseline="0"/>
            <a:t> stock over time</a:t>
          </a:r>
          <a:endParaRPr lang="en-US" sz="1100" b="1"/>
        </a:p>
      </xdr:txBody>
    </xdr:sp>
    <xdr:clientData/>
  </xdr:twoCellAnchor>
  <xdr:twoCellAnchor>
    <xdr:from>
      <xdr:col>6</xdr:col>
      <xdr:colOff>114300</xdr:colOff>
      <xdr:row>2</xdr:row>
      <xdr:rowOff>171450</xdr:rowOff>
    </xdr:from>
    <xdr:to>
      <xdr:col>7</xdr:col>
      <xdr:colOff>485775</xdr:colOff>
      <xdr:row>6</xdr:row>
      <xdr:rowOff>28575</xdr:rowOff>
    </xdr:to>
    <xdr:sp macro="[0]!Delet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006340" y="552450"/>
          <a:ext cx="981075" cy="58864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Delete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hamed/Documents/SKEMA/VBA/Lectures/Lecture%201/HW/HW1%20VBA_sol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asqui/Desktop/TE110/HW05/Previous/2013Spring/HwLab5S13-sol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hamed.desoky/Desktop/SKEMA/FY2016_2017/AFM-VBA/Lecture2/Lecture2ICPS_%20SOL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ency"/>
      <sheetName val="SNorm"/>
      <sheetName val="Lookup"/>
      <sheetName val="Bonds"/>
      <sheetName val="CompoundDTab"/>
      <sheetName val="BSDTab"/>
      <sheetName val="Beta"/>
      <sheetName val="MatDef"/>
      <sheetName val="MatExs"/>
    </sheetNames>
    <sheetDataSet>
      <sheetData sheetId="0"/>
      <sheetData sheetId="1"/>
      <sheetData sheetId="2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  <row r="33">
          <cell r="H33">
            <v>1</v>
          </cell>
          <cell r="I33">
            <v>31</v>
          </cell>
          <cell r="J33">
            <v>31</v>
          </cell>
        </row>
        <row r="34">
          <cell r="H34">
            <v>2</v>
          </cell>
          <cell r="I34">
            <v>28</v>
          </cell>
          <cell r="J34">
            <v>29</v>
          </cell>
        </row>
        <row r="35">
          <cell r="H35">
            <v>3</v>
          </cell>
          <cell r="I35">
            <v>31</v>
          </cell>
          <cell r="J35">
            <v>31</v>
          </cell>
        </row>
        <row r="36">
          <cell r="H36">
            <v>4</v>
          </cell>
          <cell r="I36">
            <v>30</v>
          </cell>
          <cell r="J36">
            <v>30</v>
          </cell>
        </row>
        <row r="37">
          <cell r="H37">
            <v>5</v>
          </cell>
          <cell r="I37">
            <v>31</v>
          </cell>
          <cell r="J37">
            <v>31</v>
          </cell>
        </row>
        <row r="38">
          <cell r="H38">
            <v>6</v>
          </cell>
          <cell r="I38">
            <v>30</v>
          </cell>
          <cell r="J38">
            <v>30</v>
          </cell>
        </row>
        <row r="39">
          <cell r="H39">
            <v>7</v>
          </cell>
          <cell r="I39">
            <v>31</v>
          </cell>
          <cell r="J39">
            <v>31</v>
          </cell>
        </row>
        <row r="40">
          <cell r="H40">
            <v>8</v>
          </cell>
          <cell r="I40">
            <v>31</v>
          </cell>
          <cell r="J40">
            <v>31</v>
          </cell>
        </row>
        <row r="41">
          <cell r="H41">
            <v>9</v>
          </cell>
          <cell r="I41">
            <v>30</v>
          </cell>
          <cell r="J41">
            <v>30</v>
          </cell>
        </row>
        <row r="42">
          <cell r="H42">
            <v>10</v>
          </cell>
          <cell r="I42">
            <v>31</v>
          </cell>
          <cell r="J42">
            <v>31</v>
          </cell>
        </row>
        <row r="43">
          <cell r="H43">
            <v>11</v>
          </cell>
          <cell r="I43">
            <v>30</v>
          </cell>
          <cell r="J43">
            <v>30</v>
          </cell>
        </row>
        <row r="44">
          <cell r="H44">
            <v>12</v>
          </cell>
          <cell r="I44">
            <v>31</v>
          </cell>
          <cell r="J44">
            <v>31</v>
          </cell>
        </row>
      </sheetData>
      <sheetData sheetId="3"/>
      <sheetData sheetId="4"/>
      <sheetData sheetId="5"/>
      <sheetData sheetId="6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7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</sheetData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1"/>
      <sheetName val="Formatting"/>
      <sheetName val="Improved Formatting"/>
      <sheetName val="Prisms"/>
      <sheetName val="Financial Analysis"/>
      <sheetName val="Formatting Backup"/>
      <sheetName val="Improved Formatting Backu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D2">
            <v>0.05</v>
          </cell>
        </row>
        <row r="5">
          <cell r="D5">
            <v>48</v>
          </cell>
          <cell r="H5">
            <v>30</v>
          </cell>
        </row>
        <row r="7">
          <cell r="B7">
            <v>100</v>
          </cell>
        </row>
      </sheetData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 procedure1"/>
      <sheetName val="Sub procedure2"/>
      <sheetName val="Loops"/>
      <sheetName val="User defined function"/>
      <sheetName val="HW2---discount rate vba"/>
      <sheetName val="discount rate vba soln"/>
      <sheetName val="discount rate vb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>
            <v>0.05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0E091-CDEC-4294-BD4E-DDE6598DD002}">
  <sheetPr codeName="Sheet6"/>
  <dimension ref="A1:M14"/>
  <sheetViews>
    <sheetView tabSelected="1" view="pageBreakPreview" zoomScaleNormal="91" zoomScaleSheetLayoutView="100" workbookViewId="0">
      <selection activeCell="I8" sqref="I8"/>
    </sheetView>
  </sheetViews>
  <sheetFormatPr defaultRowHeight="14.4" x14ac:dyDescent="0.3"/>
  <cols>
    <col min="1" max="1" width="10.33203125" bestFit="1" customWidth="1"/>
  </cols>
  <sheetData>
    <row r="1" spans="1:13" ht="14.4" customHeight="1" x14ac:dyDescent="0.3">
      <c r="A1" s="56" t="s">
        <v>49</v>
      </c>
      <c r="B1" s="56"/>
      <c r="C1" s="56"/>
      <c r="D1" s="56"/>
      <c r="E1" s="56"/>
      <c r="F1" s="56"/>
    </row>
    <row r="2" spans="1:13" x14ac:dyDescent="0.3">
      <c r="A2" s="56"/>
      <c r="B2" s="56"/>
      <c r="C2" s="56"/>
      <c r="D2" s="56"/>
      <c r="E2" s="56"/>
      <c r="F2" s="56"/>
      <c r="I2">
        <v>6</v>
      </c>
      <c r="J2">
        <v>1</v>
      </c>
    </row>
    <row r="3" spans="1:13" x14ac:dyDescent="0.3">
      <c r="A3" s="52" t="s">
        <v>50</v>
      </c>
      <c r="H3">
        <v>101</v>
      </c>
      <c r="I3">
        <v>102</v>
      </c>
      <c r="J3">
        <v>103</v>
      </c>
      <c r="K3">
        <v>104</v>
      </c>
      <c r="L3">
        <v>105</v>
      </c>
      <c r="M3">
        <v>106</v>
      </c>
    </row>
    <row r="4" spans="1:13" x14ac:dyDescent="0.3">
      <c r="B4" s="53"/>
      <c r="C4" s="53"/>
      <c r="D4" s="53"/>
      <c r="E4" s="53"/>
      <c r="F4" s="53"/>
      <c r="G4" s="53"/>
    </row>
    <row r="5" spans="1:13" x14ac:dyDescent="0.3">
      <c r="B5" s="53"/>
      <c r="C5" s="53"/>
      <c r="D5" s="53"/>
      <c r="E5" s="53"/>
      <c r="F5" s="53"/>
      <c r="G5" s="53"/>
      <c r="H5" s="54"/>
    </row>
    <row r="6" spans="1:13" x14ac:dyDescent="0.3">
      <c r="B6" s="53"/>
      <c r="C6" s="53"/>
      <c r="D6" s="53"/>
      <c r="E6" s="53"/>
      <c r="F6" s="53"/>
      <c r="G6" s="53"/>
    </row>
    <row r="7" spans="1:13" x14ac:dyDescent="0.3">
      <c r="B7" s="53"/>
      <c r="C7" s="53"/>
      <c r="D7" s="53"/>
      <c r="E7" s="53"/>
      <c r="F7" s="53"/>
      <c r="G7" s="53">
        <v>100</v>
      </c>
      <c r="H7">
        <v>100</v>
      </c>
      <c r="I7">
        <v>100</v>
      </c>
      <c r="J7">
        <v>100</v>
      </c>
      <c r="K7">
        <v>100</v>
      </c>
      <c r="L7">
        <v>100</v>
      </c>
    </row>
    <row r="8" spans="1:13" x14ac:dyDescent="0.3">
      <c r="B8" s="53"/>
      <c r="C8" s="53"/>
      <c r="D8" s="53"/>
      <c r="E8" s="53"/>
      <c r="F8" s="53"/>
      <c r="G8" s="53">
        <v>100</v>
      </c>
      <c r="H8">
        <v>100</v>
      </c>
      <c r="I8">
        <v>100</v>
      </c>
      <c r="J8">
        <v>100</v>
      </c>
      <c r="K8">
        <v>100</v>
      </c>
      <c r="L8">
        <v>100</v>
      </c>
    </row>
    <row r="9" spans="1:13" x14ac:dyDescent="0.3">
      <c r="B9" s="53"/>
      <c r="C9" s="53"/>
      <c r="D9" s="53"/>
      <c r="E9" s="53"/>
      <c r="F9" s="53"/>
      <c r="G9" s="53">
        <v>100</v>
      </c>
      <c r="H9">
        <v>100</v>
      </c>
      <c r="I9">
        <v>100</v>
      </c>
      <c r="J9">
        <v>100</v>
      </c>
      <c r="K9">
        <v>100</v>
      </c>
      <c r="L9">
        <v>100</v>
      </c>
    </row>
    <row r="10" spans="1:13" x14ac:dyDescent="0.3">
      <c r="B10" s="53"/>
      <c r="C10" s="53"/>
      <c r="D10" s="53"/>
      <c r="E10" s="53"/>
      <c r="F10" s="53"/>
      <c r="G10" s="53">
        <v>100</v>
      </c>
      <c r="H10">
        <v>100</v>
      </c>
      <c r="I10">
        <v>100</v>
      </c>
      <c r="J10">
        <v>100</v>
      </c>
      <c r="K10">
        <v>100</v>
      </c>
      <c r="L10">
        <v>100</v>
      </c>
    </row>
    <row r="11" spans="1:13" x14ac:dyDescent="0.3">
      <c r="A11" s="52" t="s">
        <v>51</v>
      </c>
      <c r="B11" s="53"/>
      <c r="C11" s="53"/>
      <c r="D11" s="53"/>
      <c r="E11" s="53"/>
      <c r="F11" s="53"/>
      <c r="G11" s="53">
        <v>100</v>
      </c>
      <c r="H11">
        <v>100</v>
      </c>
      <c r="I11">
        <v>100</v>
      </c>
      <c r="J11">
        <v>100</v>
      </c>
      <c r="K11">
        <v>100</v>
      </c>
      <c r="L11">
        <v>100</v>
      </c>
    </row>
    <row r="12" spans="1:13" x14ac:dyDescent="0.3">
      <c r="G12">
        <v>100</v>
      </c>
      <c r="H12">
        <v>100</v>
      </c>
      <c r="I12">
        <v>100</v>
      </c>
      <c r="J12">
        <v>100</v>
      </c>
      <c r="K12">
        <v>100</v>
      </c>
      <c r="L12">
        <v>100</v>
      </c>
    </row>
    <row r="13" spans="1:13" x14ac:dyDescent="0.3">
      <c r="A13" s="52"/>
      <c r="B13" s="55">
        <v>12</v>
      </c>
      <c r="C13" s="55">
        <v>14</v>
      </c>
      <c r="D13" s="55">
        <v>13</v>
      </c>
      <c r="E13" s="55">
        <v>18</v>
      </c>
      <c r="F13" s="55">
        <v>12</v>
      </c>
    </row>
    <row r="14" spans="1:13" x14ac:dyDescent="0.3">
      <c r="B14">
        <v>24</v>
      </c>
      <c r="C14">
        <v>28</v>
      </c>
      <c r="D14">
        <v>26</v>
      </c>
      <c r="E14">
        <v>36</v>
      </c>
      <c r="F14">
        <v>24</v>
      </c>
    </row>
  </sheetData>
  <mergeCells count="1">
    <mergeCell ref="A1:F2"/>
  </mergeCells>
  <pageMargins left="0.7" right="0.7" top="0.75" bottom="0.75" header="0.3" footer="0.3"/>
  <pageSetup scale="3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19"/>
  <sheetViews>
    <sheetView view="pageBreakPreview" topLeftCell="A2" zoomScaleNormal="100" zoomScaleSheetLayoutView="100" workbookViewId="0">
      <selection activeCell="F15" sqref="F15"/>
    </sheetView>
  </sheetViews>
  <sheetFormatPr defaultColWidth="9.109375" defaultRowHeight="13.2" x14ac:dyDescent="0.25"/>
  <cols>
    <col min="1" max="1" width="19.44140625" style="20" customWidth="1"/>
    <col min="2" max="2" width="11" style="20" customWidth="1"/>
    <col min="3" max="3" width="10.6640625" style="20" bestFit="1" customWidth="1"/>
    <col min="4" max="4" width="10.109375" style="20" bestFit="1" customWidth="1"/>
    <col min="5" max="5" width="10.44140625" style="20" customWidth="1"/>
    <col min="6" max="6" width="10.109375" style="20" bestFit="1" customWidth="1"/>
    <col min="7" max="16384" width="9.109375" style="20"/>
  </cols>
  <sheetData>
    <row r="1" spans="1:7" ht="12.75" customHeight="1" thickBot="1" x14ac:dyDescent="0.3">
      <c r="A1" s="18" t="s">
        <v>14</v>
      </c>
      <c r="B1" s="19">
        <v>0.04</v>
      </c>
    </row>
    <row r="2" spans="1:7" ht="12.75" customHeight="1" x14ac:dyDescent="0.25">
      <c r="A2" s="18" t="s">
        <v>15</v>
      </c>
      <c r="C2" s="18"/>
    </row>
    <row r="3" spans="1:7" ht="12.75" customHeight="1" x14ac:dyDescent="0.25">
      <c r="B3" s="21"/>
      <c r="C3" s="21" t="s">
        <v>16</v>
      </c>
      <c r="D3" s="21"/>
      <c r="E3" s="21"/>
      <c r="F3" s="21"/>
    </row>
    <row r="4" spans="1:7" x14ac:dyDescent="0.25">
      <c r="B4" s="22" t="s">
        <v>17</v>
      </c>
      <c r="C4" s="22" t="s">
        <v>18</v>
      </c>
      <c r="D4" s="22" t="s">
        <v>19</v>
      </c>
      <c r="E4" s="22" t="s">
        <v>20</v>
      </c>
      <c r="F4" s="22" t="s">
        <v>21</v>
      </c>
    </row>
    <row r="5" spans="1:7" ht="14.4" x14ac:dyDescent="0.3">
      <c r="A5" s="21" t="s">
        <v>22</v>
      </c>
      <c r="B5" s="23">
        <v>0.05</v>
      </c>
      <c r="C5" s="24">
        <v>-500</v>
      </c>
      <c r="D5" s="25">
        <f>C5-$E$10</f>
        <v>-1250</v>
      </c>
      <c r="E5" s="25">
        <f>B5*C5</f>
        <v>-25</v>
      </c>
      <c r="F5" s="25">
        <f>B5*D5^2</f>
        <v>78125</v>
      </c>
      <c r="G5" s="23"/>
    </row>
    <row r="6" spans="1:7" ht="14.4" x14ac:dyDescent="0.3">
      <c r="A6" s="21" t="s">
        <v>23</v>
      </c>
      <c r="B6" s="23">
        <v>0.2</v>
      </c>
      <c r="C6" s="26">
        <v>100</v>
      </c>
      <c r="D6" s="25">
        <f>C6-$E$10</f>
        <v>-650</v>
      </c>
      <c r="E6" s="25">
        <f>B6*C6</f>
        <v>20</v>
      </c>
      <c r="F6" s="25">
        <f>B6*D6^2</f>
        <v>84500</v>
      </c>
      <c r="G6" s="23"/>
    </row>
    <row r="7" spans="1:7" ht="14.4" x14ac:dyDescent="0.3">
      <c r="A7" s="21" t="s">
        <v>24</v>
      </c>
      <c r="B7" s="23">
        <v>0.5</v>
      </c>
      <c r="C7" s="26">
        <v>700</v>
      </c>
      <c r="D7" s="25">
        <f>C7-$E$10</f>
        <v>-50</v>
      </c>
      <c r="E7" s="25">
        <f>B7*C7</f>
        <v>350</v>
      </c>
      <c r="F7" s="25">
        <f>B7*D7^2</f>
        <v>1250</v>
      </c>
      <c r="G7" s="23"/>
    </row>
    <row r="8" spans="1:7" ht="14.4" x14ac:dyDescent="0.3">
      <c r="A8" s="21" t="s">
        <v>25</v>
      </c>
      <c r="B8" s="23">
        <v>0.2</v>
      </c>
      <c r="C8" s="26">
        <v>1300</v>
      </c>
      <c r="D8" s="25">
        <f>C8-$E$10</f>
        <v>550</v>
      </c>
      <c r="E8" s="25">
        <f>B8*C8</f>
        <v>260</v>
      </c>
      <c r="F8" s="25">
        <f>B8*D8^2</f>
        <v>60500</v>
      </c>
      <c r="G8" s="23"/>
    </row>
    <row r="9" spans="1:7" ht="15" thickBot="1" x14ac:dyDescent="0.35">
      <c r="A9" s="21" t="s">
        <v>26</v>
      </c>
      <c r="B9" s="27">
        <v>0.05</v>
      </c>
      <c r="C9" s="28">
        <v>2900</v>
      </c>
      <c r="D9" s="29">
        <f>C9-$E$10</f>
        <v>2150</v>
      </c>
      <c r="E9" s="29">
        <f>B9*C9</f>
        <v>145</v>
      </c>
      <c r="F9" s="29">
        <f>B9*D9^2</f>
        <v>231125</v>
      </c>
      <c r="G9" s="23"/>
    </row>
    <row r="10" spans="1:7" x14ac:dyDescent="0.25">
      <c r="A10" s="23" t="s">
        <v>15</v>
      </c>
      <c r="B10" s="23"/>
      <c r="C10" s="23"/>
      <c r="E10" s="51">
        <f>SUM(E5:E9)</f>
        <v>750</v>
      </c>
    </row>
    <row r="11" spans="1:7" x14ac:dyDescent="0.25">
      <c r="A11" s="23" t="s">
        <v>27</v>
      </c>
      <c r="B11" s="23"/>
      <c r="C11" s="23"/>
      <c r="D11" s="23"/>
      <c r="F11" s="30"/>
    </row>
    <row r="12" spans="1:7" x14ac:dyDescent="0.25">
      <c r="A12" s="23" t="s">
        <v>28</v>
      </c>
      <c r="B12" s="23"/>
      <c r="C12" s="23"/>
      <c r="D12" s="23"/>
      <c r="F12" s="31"/>
    </row>
    <row r="14" spans="1:7" ht="12.75" customHeight="1" thickBot="1" x14ac:dyDescent="0.3">
      <c r="A14" s="18" t="s">
        <v>29</v>
      </c>
      <c r="C14" s="21" t="s">
        <v>30</v>
      </c>
      <c r="D14" s="21" t="s">
        <v>31</v>
      </c>
    </row>
    <row r="15" spans="1:7" x14ac:dyDescent="0.25">
      <c r="A15" s="32" t="s">
        <v>32</v>
      </c>
      <c r="C15" s="35">
        <f t="array" ref="C15">ExpV(B5:B9,C5:C9)</f>
        <v>750</v>
      </c>
      <c r="D15" s="39">
        <v>750</v>
      </c>
    </row>
    <row r="16" spans="1:7" ht="13.8" x14ac:dyDescent="0.3">
      <c r="A16" s="33" t="s">
        <v>33</v>
      </c>
      <c r="C16" s="36"/>
      <c r="D16" s="39">
        <v>455500</v>
      </c>
      <c r="E16" s="40"/>
    </row>
    <row r="17" spans="1:5" ht="13.8" x14ac:dyDescent="0.3">
      <c r="A17" s="42" t="s">
        <v>28</v>
      </c>
      <c r="C17" s="37"/>
      <c r="D17" s="39">
        <v>674.90740105587815</v>
      </c>
      <c r="E17" s="41"/>
    </row>
    <row r="18" spans="1:5" ht="14.4" thickBot="1" x14ac:dyDescent="0.35">
      <c r="A18" s="32" t="s">
        <v>34</v>
      </c>
      <c r="C18" s="38"/>
      <c r="D18" s="39">
        <v>3877.970703125</v>
      </c>
      <c r="E18" s="41"/>
    </row>
    <row r="19" spans="1:5" x14ac:dyDescent="0.25">
      <c r="A19" s="34"/>
    </row>
  </sheetData>
  <pageMargins left="0.75" right="0.75" top="1" bottom="1" header="0.5" footer="0.5"/>
  <pageSetup scale="4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19"/>
  <sheetViews>
    <sheetView workbookViewId="0">
      <selection sqref="A1:A12"/>
    </sheetView>
  </sheetViews>
  <sheetFormatPr defaultRowHeight="14.4" x14ac:dyDescent="0.3"/>
  <cols>
    <col min="1" max="1" width="10.6640625" bestFit="1" customWidth="1"/>
    <col min="4" max="4" width="9.5546875" bestFit="1" customWidth="1"/>
  </cols>
  <sheetData>
    <row r="1" spans="1:5" x14ac:dyDescent="0.3">
      <c r="A1" t="s">
        <v>35</v>
      </c>
    </row>
    <row r="2" spans="1:5" x14ac:dyDescent="0.3">
      <c r="A2" t="s">
        <v>36</v>
      </c>
    </row>
    <row r="3" spans="1:5" x14ac:dyDescent="0.3">
      <c r="A3" t="s">
        <v>37</v>
      </c>
    </row>
    <row r="4" spans="1:5" x14ac:dyDescent="0.3">
      <c r="A4" t="s">
        <v>38</v>
      </c>
    </row>
    <row r="5" spans="1:5" x14ac:dyDescent="0.3">
      <c r="A5" t="s">
        <v>39</v>
      </c>
    </row>
    <row r="6" spans="1:5" x14ac:dyDescent="0.3">
      <c r="A6" t="s">
        <v>40</v>
      </c>
    </row>
    <row r="7" spans="1:5" x14ac:dyDescent="0.3">
      <c r="A7" t="s">
        <v>41</v>
      </c>
    </row>
    <row r="8" spans="1:5" x14ac:dyDescent="0.3">
      <c r="A8" t="s">
        <v>42</v>
      </c>
    </row>
    <row r="9" spans="1:5" x14ac:dyDescent="0.3">
      <c r="A9" t="s">
        <v>43</v>
      </c>
    </row>
    <row r="10" spans="1:5" x14ac:dyDescent="0.3">
      <c r="A10" t="s">
        <v>44</v>
      </c>
    </row>
    <row r="11" spans="1:5" x14ac:dyDescent="0.3">
      <c r="A11" t="s">
        <v>45</v>
      </c>
    </row>
    <row r="12" spans="1:5" x14ac:dyDescent="0.3">
      <c r="A12" t="s">
        <v>46</v>
      </c>
    </row>
    <row r="14" spans="1:5" x14ac:dyDescent="0.3">
      <c r="C14" s="43"/>
      <c r="D14" s="43"/>
      <c r="E14" s="43"/>
    </row>
    <row r="15" spans="1:5" x14ac:dyDescent="0.3">
      <c r="C15" s="44"/>
      <c r="D15" s="45"/>
      <c r="E15" s="46"/>
    </row>
    <row r="16" spans="1:5" x14ac:dyDescent="0.3">
      <c r="C16" s="44"/>
      <c r="D16" s="47"/>
      <c r="E16" s="48"/>
    </row>
    <row r="17" spans="3:5" x14ac:dyDescent="0.3">
      <c r="C17" s="49"/>
      <c r="D17" s="45"/>
      <c r="E17" s="46"/>
    </row>
    <row r="18" spans="3:5" x14ac:dyDescent="0.3">
      <c r="C18" s="44"/>
      <c r="D18" s="45"/>
      <c r="E18" s="46"/>
    </row>
    <row r="19" spans="3:5" x14ac:dyDescent="0.3">
      <c r="C19" s="43"/>
      <c r="D19" s="43"/>
      <c r="E19" s="4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1"/>
  <sheetViews>
    <sheetView workbookViewId="0"/>
  </sheetViews>
  <sheetFormatPr defaultRowHeight="14.4" x14ac:dyDescent="0.3"/>
  <sheetData>
    <row r="1" spans="1:3" x14ac:dyDescent="0.3">
      <c r="A1" s="4">
        <v>0.5</v>
      </c>
      <c r="B1" s="4"/>
      <c r="C1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38"/>
  <sheetViews>
    <sheetView workbookViewId="0">
      <selection activeCell="L8" sqref="L8"/>
    </sheetView>
  </sheetViews>
  <sheetFormatPr defaultRowHeight="14.4" x14ac:dyDescent="0.3"/>
  <sheetData>
    <row r="1" spans="1:5" x14ac:dyDescent="0.3">
      <c r="A1" s="4">
        <v>1.4999999999999999E-2</v>
      </c>
      <c r="C1" s="4">
        <v>0.01</v>
      </c>
      <c r="D1" t="s">
        <v>47</v>
      </c>
      <c r="E1" t="s">
        <v>48</v>
      </c>
    </row>
    <row r="2" spans="1:5" x14ac:dyDescent="0.3">
      <c r="A2" s="4">
        <v>0.02</v>
      </c>
    </row>
    <row r="3" spans="1:5" x14ac:dyDescent="0.3">
      <c r="A3" s="4">
        <v>2.5000000000000001E-2</v>
      </c>
    </row>
    <row r="4" spans="1:5" x14ac:dyDescent="0.3">
      <c r="A4" s="4">
        <v>0.03</v>
      </c>
    </row>
    <row r="5" spans="1:5" x14ac:dyDescent="0.3">
      <c r="A5" s="4">
        <v>3.5000000000000003E-2</v>
      </c>
    </row>
    <row r="6" spans="1:5" x14ac:dyDescent="0.3">
      <c r="A6" s="4">
        <v>0.04</v>
      </c>
    </row>
    <row r="7" spans="1:5" x14ac:dyDescent="0.3">
      <c r="A7" s="4">
        <v>4.4999999999999998E-2</v>
      </c>
    </row>
    <row r="8" spans="1:5" x14ac:dyDescent="0.3">
      <c r="A8" s="4">
        <v>0.05</v>
      </c>
    </row>
    <row r="9" spans="1:5" x14ac:dyDescent="0.3">
      <c r="A9" s="4">
        <v>5.5E-2</v>
      </c>
    </row>
    <row r="10" spans="1:5" x14ac:dyDescent="0.3">
      <c r="A10" s="4">
        <v>0.06</v>
      </c>
    </row>
    <row r="11" spans="1:5" x14ac:dyDescent="0.3">
      <c r="A11" s="4">
        <v>6.5000000000000002E-2</v>
      </c>
    </row>
    <row r="12" spans="1:5" x14ac:dyDescent="0.3">
      <c r="A12" s="4">
        <v>7.0000000000000007E-2</v>
      </c>
    </row>
    <row r="13" spans="1:5" x14ac:dyDescent="0.3">
      <c r="A13" s="4">
        <v>7.4999999999999997E-2</v>
      </c>
    </row>
    <row r="14" spans="1:5" x14ac:dyDescent="0.3">
      <c r="A14" s="4">
        <v>0.08</v>
      </c>
    </row>
    <row r="15" spans="1:5" x14ac:dyDescent="0.3">
      <c r="A15" s="4">
        <v>8.5000000000000006E-2</v>
      </c>
    </row>
    <row r="16" spans="1:5" x14ac:dyDescent="0.3">
      <c r="A16" s="4">
        <v>0.09</v>
      </c>
    </row>
    <row r="17" spans="1:1" x14ac:dyDescent="0.3">
      <c r="A17" s="4">
        <v>9.5000000000000001E-2</v>
      </c>
    </row>
    <row r="18" spans="1:1" x14ac:dyDescent="0.3">
      <c r="A18" s="4">
        <v>0.1</v>
      </c>
    </row>
    <row r="19" spans="1:1" x14ac:dyDescent="0.3">
      <c r="A19" s="4">
        <v>0.105</v>
      </c>
    </row>
    <row r="20" spans="1:1" x14ac:dyDescent="0.3">
      <c r="A20" s="4">
        <v>0.11</v>
      </c>
    </row>
    <row r="21" spans="1:1" x14ac:dyDescent="0.3">
      <c r="A21" s="4">
        <v>0.115</v>
      </c>
    </row>
    <row r="22" spans="1:1" x14ac:dyDescent="0.3">
      <c r="A22" s="4">
        <v>0.12</v>
      </c>
    </row>
    <row r="23" spans="1:1" x14ac:dyDescent="0.3">
      <c r="A23" s="4">
        <v>0.125</v>
      </c>
    </row>
    <row r="24" spans="1:1" x14ac:dyDescent="0.3">
      <c r="A24" s="4">
        <v>0.13</v>
      </c>
    </row>
    <row r="25" spans="1:1" x14ac:dyDescent="0.3">
      <c r="A25" s="4">
        <v>0.13500000000000001</v>
      </c>
    </row>
    <row r="26" spans="1:1" x14ac:dyDescent="0.3">
      <c r="A26" s="4">
        <v>0.14000000000000001</v>
      </c>
    </row>
    <row r="27" spans="1:1" x14ac:dyDescent="0.3">
      <c r="A27" s="4">
        <v>0.14500000000000002</v>
      </c>
    </row>
    <row r="28" spans="1:1" x14ac:dyDescent="0.3">
      <c r="A28" s="4">
        <v>0.15000000000000002</v>
      </c>
    </row>
    <row r="29" spans="1:1" x14ac:dyDescent="0.3">
      <c r="A29" s="4">
        <v>0.15500000000000003</v>
      </c>
    </row>
    <row r="30" spans="1:1" x14ac:dyDescent="0.3">
      <c r="A30" s="4">
        <v>0.15999999999999998</v>
      </c>
    </row>
    <row r="31" spans="1:1" x14ac:dyDescent="0.3">
      <c r="A31" s="4">
        <v>0.16499999999999998</v>
      </c>
    </row>
    <row r="32" spans="1:1" x14ac:dyDescent="0.3">
      <c r="A32" s="4">
        <v>0.16999999999999998</v>
      </c>
    </row>
    <row r="33" spans="1:1" x14ac:dyDescent="0.3">
      <c r="A33" s="4">
        <v>0.17499999999999999</v>
      </c>
    </row>
    <row r="34" spans="1:1" x14ac:dyDescent="0.3">
      <c r="A34" s="4">
        <v>0.18</v>
      </c>
    </row>
    <row r="35" spans="1:1" x14ac:dyDescent="0.3">
      <c r="A35" s="4">
        <v>0.185</v>
      </c>
    </row>
    <row r="36" spans="1:1" x14ac:dyDescent="0.3">
      <c r="A36" s="4">
        <v>0.19</v>
      </c>
    </row>
    <row r="37" spans="1:1" x14ac:dyDescent="0.3">
      <c r="A37" s="4">
        <v>0.19500000000000001</v>
      </c>
    </row>
    <row r="38" spans="1:1" x14ac:dyDescent="0.3">
      <c r="A38" s="4">
        <v>0.2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CO140"/>
  <sheetViews>
    <sheetView workbookViewId="0">
      <selection activeCell="D13" sqref="D13"/>
    </sheetView>
  </sheetViews>
  <sheetFormatPr defaultColWidth="9.109375" defaultRowHeight="13.2" x14ac:dyDescent="0.25"/>
  <cols>
    <col min="1" max="1" width="26" style="2" customWidth="1"/>
    <col min="2" max="3" width="9.109375" style="2"/>
    <col min="4" max="4" width="9.5546875" style="2" customWidth="1"/>
    <col min="5" max="16384" width="9.109375" style="2"/>
  </cols>
  <sheetData>
    <row r="1" spans="1:5" ht="15.6" x14ac:dyDescent="0.3">
      <c r="A1" s="50"/>
    </row>
    <row r="2" spans="1:5" x14ac:dyDescent="0.25">
      <c r="A2" s="57"/>
      <c r="B2" s="58"/>
    </row>
    <row r="3" spans="1:5" x14ac:dyDescent="0.25">
      <c r="A3" s="5" t="s">
        <v>0</v>
      </c>
      <c r="B3" s="6" t="s">
        <v>10</v>
      </c>
    </row>
    <row r="4" spans="1:5" x14ac:dyDescent="0.25">
      <c r="A4" s="5" t="s">
        <v>1</v>
      </c>
      <c r="B4" s="5">
        <v>-1</v>
      </c>
      <c r="D4" s="7"/>
      <c r="E4" s="8"/>
    </row>
    <row r="5" spans="1:5" x14ac:dyDescent="0.25">
      <c r="A5" s="5" t="s">
        <v>2</v>
      </c>
      <c r="B5" s="12">
        <v>5</v>
      </c>
      <c r="D5" s="7"/>
      <c r="E5" s="8"/>
    </row>
    <row r="6" spans="1:5" x14ac:dyDescent="0.25">
      <c r="A6" s="5" t="s">
        <v>3</v>
      </c>
      <c r="B6" s="12">
        <v>5</v>
      </c>
      <c r="D6" s="7"/>
      <c r="E6" s="8"/>
    </row>
    <row r="7" spans="1:5" x14ac:dyDescent="0.25">
      <c r="A7" s="5" t="s">
        <v>4</v>
      </c>
      <c r="B7" s="9">
        <v>0.05</v>
      </c>
      <c r="D7" s="7"/>
      <c r="E7" s="8"/>
    </row>
    <row r="8" spans="1:5" x14ac:dyDescent="0.25">
      <c r="A8" s="5" t="s">
        <v>5</v>
      </c>
      <c r="B8" s="9">
        <v>5.0000000000000001E-3</v>
      </c>
      <c r="D8" s="7"/>
      <c r="E8" s="8"/>
    </row>
    <row r="9" spans="1:5" x14ac:dyDescent="0.25">
      <c r="A9" s="5" t="s">
        <v>6</v>
      </c>
      <c r="B9" s="10">
        <v>1.003880493038048</v>
      </c>
      <c r="D9" s="7"/>
      <c r="E9" s="8"/>
    </row>
    <row r="10" spans="1:5" x14ac:dyDescent="0.25">
      <c r="A10" s="5" t="s">
        <v>7</v>
      </c>
      <c r="B10" s="10">
        <v>0.99613450698070194</v>
      </c>
      <c r="D10" s="7"/>
      <c r="E10" s="8"/>
    </row>
    <row r="11" spans="1:5" x14ac:dyDescent="0.25">
      <c r="A11" s="5" t="s">
        <v>8</v>
      </c>
      <c r="B11" s="5">
        <v>1.8</v>
      </c>
      <c r="D11" s="7"/>
      <c r="E11" s="8"/>
    </row>
    <row r="12" spans="1:5" x14ac:dyDescent="0.25">
      <c r="A12" s="5" t="s">
        <v>9</v>
      </c>
      <c r="B12" s="5">
        <v>4</v>
      </c>
      <c r="D12" s="7"/>
      <c r="E12" s="8"/>
    </row>
    <row r="13" spans="1:5" x14ac:dyDescent="0.25">
      <c r="A13" s="5" t="s">
        <v>11</v>
      </c>
      <c r="B13" s="11">
        <v>5.0000000000000001E-3</v>
      </c>
      <c r="D13" s="7"/>
      <c r="E13" s="8"/>
    </row>
    <row r="14" spans="1:5" x14ac:dyDescent="0.25">
      <c r="D14" s="7"/>
      <c r="E14" s="8"/>
    </row>
    <row r="15" spans="1:5" x14ac:dyDescent="0.25">
      <c r="E15" s="8"/>
    </row>
    <row r="16" spans="1:5" x14ac:dyDescent="0.25">
      <c r="E16" s="8"/>
    </row>
    <row r="17" spans="2:93" x14ac:dyDescent="0.25">
      <c r="E17" s="8"/>
    </row>
    <row r="18" spans="2:93" x14ac:dyDescent="0.25">
      <c r="E18" s="8"/>
    </row>
    <row r="20" spans="2:93" x14ac:dyDescent="0.25">
      <c r="B20" s="3"/>
      <c r="CN20" s="2">
        <v>405.54896269409778</v>
      </c>
      <c r="CO20" s="2">
        <v>411.3250378782962</v>
      </c>
    </row>
    <row r="21" spans="2:93" x14ac:dyDescent="0.25">
      <c r="CN21" s="2">
        <v>394.23900674704277</v>
      </c>
      <c r="CO21" s="2">
        <v>399.85399865427706</v>
      </c>
    </row>
    <row r="22" spans="2:93" x14ac:dyDescent="0.25">
      <c r="CN22" s="2">
        <v>383.24446303202649</v>
      </c>
      <c r="CO22" s="2">
        <v>388.70286395529666</v>
      </c>
    </row>
    <row r="23" spans="2:93" x14ac:dyDescent="0.25">
      <c r="CN23" s="2">
        <v>372.55653532768559</v>
      </c>
      <c r="CO23" s="2">
        <v>377.86271227885277</v>
      </c>
    </row>
    <row r="24" spans="2:93" x14ac:dyDescent="0.25">
      <c r="CN24" s="2">
        <v>362.16667272181849</v>
      </c>
      <c r="CO24" s="2">
        <v>367.32487092544733</v>
      </c>
    </row>
    <row r="25" spans="2:93" x14ac:dyDescent="0.25">
      <c r="CN25" s="2">
        <v>352.06656277019988</v>
      </c>
      <c r="CO25" s="2">
        <v>357.08090905996437</v>
      </c>
    </row>
    <row r="26" spans="2:93" x14ac:dyDescent="0.25">
      <c r="CN26" s="2">
        <v>342.24812484618155</v>
      </c>
      <c r="CO26" s="2">
        <v>347.12263096655249</v>
      </c>
    </row>
    <row r="27" spans="2:93" x14ac:dyDescent="0.25">
      <c r="CN27" s="2">
        <v>332.7035036757602</v>
      </c>
      <c r="CO27" s="2">
        <v>337.44206949161452</v>
      </c>
    </row>
    <row r="28" spans="2:93" x14ac:dyDescent="0.25">
      <c r="CN28" s="2">
        <v>323.42506305293955</v>
      </c>
      <c r="CO28" s="2">
        <v>328.03147966966014</v>
      </c>
    </row>
    <row r="29" spans="2:93" x14ac:dyDescent="0.25">
      <c r="CN29" s="2">
        <v>314.40537973035794</v>
      </c>
      <c r="CO29" s="2">
        <v>318.8833325269203</v>
      </c>
    </row>
    <row r="30" spans="2:93" x14ac:dyDescent="0.25">
      <c r="CN30" s="2">
        <v>310.52612731290469</v>
      </c>
      <c r="CO30" s="2">
        <v>316.3250378782962</v>
      </c>
    </row>
    <row r="31" spans="2:93" x14ac:dyDescent="0.25">
      <c r="CN31" s="2">
        <v>299.21786773201103</v>
      </c>
      <c r="CO31" s="2">
        <v>304.85399865427706</v>
      </c>
    </row>
    <row r="32" spans="2:93" x14ac:dyDescent="0.25">
      <c r="CN32" s="2">
        <v>288.22497307486952</v>
      </c>
      <c r="CO32" s="2">
        <v>293.70286395529666</v>
      </c>
    </row>
    <row r="33" spans="92:93" x14ac:dyDescent="0.25">
      <c r="CN33" s="2">
        <v>277.53864843945115</v>
      </c>
      <c r="CO33" s="2">
        <v>282.86271227885277</v>
      </c>
    </row>
    <row r="34" spans="92:93" x14ac:dyDescent="0.25">
      <c r="CN34" s="2">
        <v>267.15034419609486</v>
      </c>
      <c r="CO34" s="2">
        <v>272.32487092544733</v>
      </c>
    </row>
    <row r="35" spans="92:93" x14ac:dyDescent="0.25">
      <c r="CN35" s="2">
        <v>257.0517491473484</v>
      </c>
      <c r="CO35" s="2">
        <v>262.08090905996437</v>
      </c>
    </row>
    <row r="36" spans="92:93" x14ac:dyDescent="0.25">
      <c r="CN36" s="2">
        <v>247.23478387856676</v>
      </c>
      <c r="CO36" s="2">
        <v>252.12263096655249</v>
      </c>
    </row>
    <row r="37" spans="92:93" x14ac:dyDescent="0.25">
      <c r="CN37" s="2">
        <v>237.69159429394938</v>
      </c>
      <c r="CO37" s="2">
        <v>242.44206949161452</v>
      </c>
    </row>
    <row r="38" spans="92:93" x14ac:dyDescent="0.25">
      <c r="CN38" s="2">
        <v>228.41454533284491</v>
      </c>
      <c r="CO38" s="2">
        <v>233.03147966966014</v>
      </c>
    </row>
    <row r="39" spans="92:93" x14ac:dyDescent="0.25">
      <c r="CN39" s="2">
        <v>219.39621486129531</v>
      </c>
      <c r="CO39" s="2">
        <v>223.8833325269203</v>
      </c>
    </row>
    <row r="40" spans="92:93" x14ac:dyDescent="0.25">
      <c r="CN40" s="2">
        <v>310.54896269409778</v>
      </c>
      <c r="CO40" s="2">
        <v>316.3250378782962</v>
      </c>
    </row>
    <row r="41" spans="92:93" x14ac:dyDescent="0.25">
      <c r="CN41" s="2">
        <v>299.23900674704277</v>
      </c>
      <c r="CO41" s="2">
        <v>304.85399865427706</v>
      </c>
    </row>
    <row r="42" spans="92:93" x14ac:dyDescent="0.25">
      <c r="CN42" s="2">
        <v>288.24446303202649</v>
      </c>
      <c r="CO42" s="2">
        <v>293.70286395529666</v>
      </c>
    </row>
    <row r="43" spans="92:93" x14ac:dyDescent="0.25">
      <c r="CN43" s="2">
        <v>277.55653532768559</v>
      </c>
      <c r="CO43" s="2">
        <v>282.86271227885277</v>
      </c>
    </row>
    <row r="44" spans="92:93" x14ac:dyDescent="0.25">
      <c r="CN44" s="2">
        <v>267.16667272181849</v>
      </c>
      <c r="CO44" s="2">
        <v>272.32487092544733</v>
      </c>
    </row>
    <row r="45" spans="92:93" x14ac:dyDescent="0.25">
      <c r="CN45" s="2">
        <v>257.06656277019988</v>
      </c>
      <c r="CO45" s="2">
        <v>262.08090905996437</v>
      </c>
    </row>
    <row r="46" spans="92:93" x14ac:dyDescent="0.25">
      <c r="CN46" s="2">
        <v>247.24812484618155</v>
      </c>
      <c r="CO46" s="2">
        <v>252.12263096655249</v>
      </c>
    </row>
    <row r="47" spans="92:93" x14ac:dyDescent="0.25">
      <c r="CN47" s="2">
        <v>237.7035036757602</v>
      </c>
      <c r="CO47" s="2">
        <v>242.44206949161452</v>
      </c>
    </row>
    <row r="48" spans="92:93" x14ac:dyDescent="0.25">
      <c r="CN48" s="2">
        <v>228.42506305293955</v>
      </c>
      <c r="CO48" s="2">
        <v>233.03147966966014</v>
      </c>
    </row>
    <row r="49" spans="92:93" x14ac:dyDescent="0.25">
      <c r="CN49" s="2">
        <v>219.40537973035794</v>
      </c>
      <c r="CO49" s="2">
        <v>223.8833325269203</v>
      </c>
    </row>
    <row r="50" spans="92:93" x14ac:dyDescent="0.25">
      <c r="CN50" s="2">
        <v>210.63723748029469</v>
      </c>
      <c r="CO50" s="2">
        <v>214.99030905776658</v>
      </c>
    </row>
    <row r="51" spans="92:93" x14ac:dyDescent="0.25">
      <c r="CN51" s="2">
        <v>202.11362132130296</v>
      </c>
      <c r="CO51" s="2">
        <v>206.34529436911646</v>
      </c>
    </row>
    <row r="52" spans="92:93" x14ac:dyDescent="0.25">
      <c r="CN52" s="2">
        <v>193.82771190585072</v>
      </c>
      <c r="CO52" s="2">
        <v>197.94137198813917</v>
      </c>
    </row>
    <row r="53" spans="92:93" x14ac:dyDescent="0.25">
      <c r="CN53" s="2">
        <v>185.77288006447856</v>
      </c>
      <c r="CO53" s="2">
        <v>189.77181832870889</v>
      </c>
    </row>
    <row r="54" spans="92:93" x14ac:dyDescent="0.25">
      <c r="CN54" s="2">
        <v>177.94268150211087</v>
      </c>
      <c r="CO54" s="2">
        <v>181.83009731217692</v>
      </c>
    </row>
    <row r="55" spans="92:93" x14ac:dyDescent="0.25">
      <c r="CN55" s="2">
        <v>170.33085164227612</v>
      </c>
      <c r="CO55" s="2">
        <v>174.10985513816024</v>
      </c>
    </row>
    <row r="56" spans="92:93" x14ac:dyDescent="0.25">
      <c r="CN56" s="2">
        <v>162.9313006151113</v>
      </c>
      <c r="CO56" s="2">
        <v>166.6049152011625</v>
      </c>
    </row>
    <row r="57" spans="92:93" x14ac:dyDescent="0.25">
      <c r="CN57" s="2">
        <v>155.73849289055963</v>
      </c>
      <c r="CO57" s="2">
        <v>159.30927314895987</v>
      </c>
    </row>
    <row r="58" spans="92:93" x14ac:dyDescent="0.25">
      <c r="CN58" s="2">
        <v>148.74695332994645</v>
      </c>
      <c r="CO58" s="2">
        <v>152.21709207879934</v>
      </c>
    </row>
    <row r="59" spans="92:93" x14ac:dyDescent="0.25">
      <c r="CN59" s="2">
        <v>141.95039393623429</v>
      </c>
      <c r="CO59" s="2">
        <v>145.32269786756504</v>
      </c>
    </row>
    <row r="60" spans="92:93" x14ac:dyDescent="0.25">
      <c r="CN60" s="2">
        <v>135.34337709941536</v>
      </c>
      <c r="CO60" s="2">
        <v>138.62057463217712</v>
      </c>
    </row>
    <row r="61" spans="92:93" x14ac:dyDescent="0.25">
      <c r="CN61" s="2">
        <v>128.92061685363655</v>
      </c>
      <c r="CO61" s="2">
        <v>132.10536031659123</v>
      </c>
    </row>
    <row r="62" spans="92:93" x14ac:dyDescent="0.25">
      <c r="CN62" s="2">
        <v>122.67697464814489</v>
      </c>
      <c r="CO62" s="2">
        <v>125.77184240186747</v>
      </c>
    </row>
    <row r="63" spans="92:93" x14ac:dyDescent="0.25">
      <c r="CN63" s="2">
        <v>116.60745523617284</v>
      </c>
      <c r="CO63" s="2">
        <v>119.61495373587746</v>
      </c>
    </row>
    <row r="64" spans="92:93" x14ac:dyDescent="0.25">
      <c r="CN64" s="2">
        <v>110.7072026784745</v>
      </c>
      <c r="CO64" s="2">
        <v>113.62976847931222</v>
      </c>
    </row>
    <row r="65" spans="92:93" x14ac:dyDescent="0.25">
      <c r="CN65" s="2">
        <v>104.97149645831522</v>
      </c>
      <c r="CO65" s="2">
        <v>107.81149816474817</v>
      </c>
    </row>
    <row r="66" spans="92:93" x14ac:dyDescent="0.25">
      <c r="CN66" s="2">
        <v>99.395747704806354</v>
      </c>
      <c r="CO66" s="2">
        <v>102.15548786561763</v>
      </c>
    </row>
    <row r="67" spans="92:93" x14ac:dyDescent="0.25">
      <c r="CN67" s="2">
        <v>93.975495521563872</v>
      </c>
      <c r="CO67" s="2">
        <v>96.657212472019324</v>
      </c>
    </row>
    <row r="68" spans="92:93" x14ac:dyDescent="0.25">
      <c r="CN68" s="2">
        <v>88.706403417753393</v>
      </c>
      <c r="CO68" s="2">
        <v>91.312273070389182</v>
      </c>
    </row>
    <row r="69" spans="92:93" x14ac:dyDescent="0.25">
      <c r="CN69" s="2">
        <v>83.584255838666138</v>
      </c>
      <c r="CO69" s="2">
        <v>86.116393424134941</v>
      </c>
    </row>
    <row r="70" spans="92:93" x14ac:dyDescent="0.25">
      <c r="CN70" s="2">
        <v>78.604954793050311</v>
      </c>
      <c r="CO70" s="2">
        <v>81.065416552418583</v>
      </c>
    </row>
    <row r="71" spans="92:93" x14ac:dyDescent="0.25">
      <c r="CN71" s="2">
        <v>73.764516574499638</v>
      </c>
      <c r="CO71" s="2">
        <v>76.155301404350126</v>
      </c>
    </row>
    <row r="72" spans="92:93" x14ac:dyDescent="0.25">
      <c r="CN72" s="2">
        <v>69.05906857427567</v>
      </c>
      <c r="CO72" s="2">
        <v>71.382119625931296</v>
      </c>
    </row>
    <row r="73" spans="92:93" x14ac:dyDescent="0.25">
      <c r="CN73" s="2">
        <v>64.484846183014298</v>
      </c>
      <c r="CO73" s="2">
        <v>66.742052417162881</v>
      </c>
    </row>
    <row r="74" spans="92:93" x14ac:dyDescent="0.25">
      <c r="CN74" s="2">
        <v>60.03818977883752</v>
      </c>
      <c r="CO74" s="2">
        <v>62.231387476801018</v>
      </c>
    </row>
    <row r="75" spans="92:93" x14ac:dyDescent="0.25">
      <c r="CN75" s="2">
        <v>55.715541799460645</v>
      </c>
      <c r="CO75" s="2">
        <v>57.846516032318249</v>
      </c>
    </row>
    <row r="76" spans="92:93" x14ac:dyDescent="0.25">
      <c r="CN76" s="2">
        <v>51.513443895952804</v>
      </c>
      <c r="CO76" s="2">
        <v>53.583929952692898</v>
      </c>
    </row>
    <row r="77" spans="92:93" x14ac:dyDescent="0.25">
      <c r="CN77" s="2">
        <v>47.428534165873323</v>
      </c>
      <c r="CO77" s="2">
        <v>49.440218941717291</v>
      </c>
    </row>
    <row r="78" spans="92:93" x14ac:dyDescent="0.25">
      <c r="CN78" s="2">
        <v>43.457544463570478</v>
      </c>
      <c r="CO78" s="2">
        <v>45.412067809578843</v>
      </c>
    </row>
    <row r="79" spans="92:93" x14ac:dyDescent="0.25">
      <c r="CN79" s="2">
        <v>39.59729778549066</v>
      </c>
      <c r="CO79" s="2">
        <v>41.496253820531393</v>
      </c>
    </row>
    <row r="80" spans="92:93" x14ac:dyDescent="0.25">
      <c r="CN80" s="2">
        <v>35.844705728406069</v>
      </c>
      <c r="CO80" s="2">
        <v>37.689644114534673</v>
      </c>
    </row>
    <row r="81" spans="92:93" x14ac:dyDescent="0.25">
      <c r="CN81" s="2">
        <v>32.196766018527477</v>
      </c>
      <c r="CO81" s="2">
        <v>33.98919320079932</v>
      </c>
    </row>
    <row r="82" spans="92:93" x14ac:dyDescent="0.25">
      <c r="CN82" s="2">
        <v>28.650560109525017</v>
      </c>
      <c r="CO82" s="2">
        <v>30.391940521231703</v>
      </c>
    </row>
    <row r="83" spans="92:93" x14ac:dyDescent="0.25">
      <c r="CN83" s="2">
        <v>25.20325084753545</v>
      </c>
      <c r="CO83" s="2">
        <v>26.895008081829573</v>
      </c>
    </row>
    <row r="84" spans="92:93" x14ac:dyDescent="0.25">
      <c r="CN84" s="2">
        <v>21.852080201287791</v>
      </c>
      <c r="CO84" s="2">
        <v>23.495598150133375</v>
      </c>
    </row>
    <row r="85" spans="92:93" x14ac:dyDescent="0.25">
      <c r="CN85" s="2">
        <v>18.594367055531173</v>
      </c>
      <c r="CO85" s="2">
        <v>20.190991016891047</v>
      </c>
    </row>
    <row r="86" spans="92:93" x14ac:dyDescent="0.25">
      <c r="CN86" s="2">
        <v>15.427505065999656</v>
      </c>
      <c r="CO86" s="2">
        <v>16.978542820145577</v>
      </c>
    </row>
    <row r="87" spans="92:93" x14ac:dyDescent="0.25">
      <c r="CN87" s="2">
        <v>12.348960574197811</v>
      </c>
      <c r="CO87" s="2">
        <v>13.855683430004447</v>
      </c>
    </row>
    <row r="88" spans="92:93" x14ac:dyDescent="0.25">
      <c r="CN88" s="2">
        <v>9.3562705803387605</v>
      </c>
      <c r="CO88" s="2">
        <v>10.819914392398587</v>
      </c>
    </row>
    <row r="89" spans="92:93" x14ac:dyDescent="0.25">
      <c r="CN89" s="2">
        <v>6.4470407728130379</v>
      </c>
      <c r="CO89" s="2">
        <v>7.8688069301858974</v>
      </c>
    </row>
    <row r="90" spans="92:93" x14ac:dyDescent="0.25">
      <c r="CN90" s="2">
        <v>3.618943612611575</v>
      </c>
      <c r="CO90" s="2">
        <v>5.0000000000000426</v>
      </c>
    </row>
    <row r="91" spans="92:93" x14ac:dyDescent="0.25">
      <c r="CN91" s="2">
        <v>1.1168809323033915</v>
      </c>
      <c r="CO91" s="2">
        <v>2.2111984032897567</v>
      </c>
    </row>
    <row r="92" spans="92:93" x14ac:dyDescent="0.25">
      <c r="CN92" s="2">
        <v>0</v>
      </c>
      <c r="CO92" s="2">
        <v>0</v>
      </c>
    </row>
    <row r="93" spans="92:93" x14ac:dyDescent="0.25">
      <c r="CN93" s="2">
        <v>0</v>
      </c>
      <c r="CO93" s="2">
        <v>0</v>
      </c>
    </row>
    <row r="94" spans="92:93" x14ac:dyDescent="0.25">
      <c r="CN94" s="2">
        <v>0</v>
      </c>
      <c r="CO94" s="2">
        <v>0</v>
      </c>
    </row>
    <row r="95" spans="92:93" x14ac:dyDescent="0.25">
      <c r="CN95" s="2">
        <v>0</v>
      </c>
      <c r="CO95" s="2">
        <v>0</v>
      </c>
    </row>
    <row r="96" spans="92:93" x14ac:dyDescent="0.25">
      <c r="CN96" s="2">
        <v>0</v>
      </c>
      <c r="CO96" s="2">
        <v>0</v>
      </c>
    </row>
    <row r="97" spans="92:93" x14ac:dyDescent="0.25">
      <c r="CN97" s="2">
        <v>0</v>
      </c>
      <c r="CO97" s="2">
        <v>0</v>
      </c>
    </row>
    <row r="98" spans="92:93" x14ac:dyDescent="0.25">
      <c r="CN98" s="2">
        <v>0</v>
      </c>
      <c r="CO98" s="2">
        <v>0</v>
      </c>
    </row>
    <row r="99" spans="92:93" x14ac:dyDescent="0.25">
      <c r="CN99" s="2">
        <v>0</v>
      </c>
      <c r="CO99" s="2">
        <v>0</v>
      </c>
    </row>
    <row r="100" spans="92:93" x14ac:dyDescent="0.25">
      <c r="CN100" s="2">
        <v>0</v>
      </c>
      <c r="CO100" s="2">
        <v>0</v>
      </c>
    </row>
    <row r="101" spans="92:93" x14ac:dyDescent="0.25">
      <c r="CN101" s="2">
        <v>0</v>
      </c>
      <c r="CO101" s="2">
        <v>0</v>
      </c>
    </row>
    <row r="102" spans="92:93" x14ac:dyDescent="0.25">
      <c r="CN102" s="2">
        <v>0</v>
      </c>
      <c r="CO102" s="2">
        <v>0</v>
      </c>
    </row>
    <row r="103" spans="92:93" x14ac:dyDescent="0.25">
      <c r="CN103" s="2">
        <v>0</v>
      </c>
      <c r="CO103" s="2">
        <v>0</v>
      </c>
    </row>
    <row r="104" spans="92:93" x14ac:dyDescent="0.25">
      <c r="CN104" s="2">
        <v>0</v>
      </c>
      <c r="CO104" s="2">
        <v>0</v>
      </c>
    </row>
    <row r="105" spans="92:93" x14ac:dyDescent="0.25">
      <c r="CN105" s="2">
        <v>0</v>
      </c>
      <c r="CO105" s="2">
        <v>0</v>
      </c>
    </row>
    <row r="106" spans="92:93" x14ac:dyDescent="0.25">
      <c r="CN106" s="2">
        <v>0</v>
      </c>
      <c r="CO106" s="2">
        <v>0</v>
      </c>
    </row>
    <row r="107" spans="92:93" x14ac:dyDescent="0.25">
      <c r="CN107" s="2">
        <v>0</v>
      </c>
      <c r="CO107" s="2">
        <v>0</v>
      </c>
    </row>
    <row r="108" spans="92:93" x14ac:dyDescent="0.25">
      <c r="CN108" s="2">
        <v>0</v>
      </c>
      <c r="CO108" s="2">
        <v>0</v>
      </c>
    </row>
    <row r="109" spans="92:93" x14ac:dyDescent="0.25">
      <c r="CN109" s="2">
        <v>0</v>
      </c>
      <c r="CO109" s="2">
        <v>0</v>
      </c>
    </row>
    <row r="110" spans="92:93" x14ac:dyDescent="0.25">
      <c r="CN110" s="2">
        <v>0</v>
      </c>
      <c r="CO110" s="2">
        <v>0</v>
      </c>
    </row>
    <row r="111" spans="92:93" x14ac:dyDescent="0.25">
      <c r="CN111" s="2">
        <v>0</v>
      </c>
      <c r="CO111" s="2">
        <v>0</v>
      </c>
    </row>
    <row r="112" spans="92:93" x14ac:dyDescent="0.25">
      <c r="CN112" s="2">
        <v>0</v>
      </c>
      <c r="CO112" s="2">
        <v>0</v>
      </c>
    </row>
    <row r="113" spans="73:93" x14ac:dyDescent="0.25">
      <c r="CN113" s="2">
        <v>0</v>
      </c>
      <c r="CO113" s="2">
        <v>0</v>
      </c>
    </row>
    <row r="114" spans="73:93" x14ac:dyDescent="0.25">
      <c r="CN114" s="2">
        <v>0</v>
      </c>
      <c r="CO114" s="2">
        <v>0</v>
      </c>
    </row>
    <row r="115" spans="73:93" x14ac:dyDescent="0.25">
      <c r="CN115" s="2">
        <v>0</v>
      </c>
      <c r="CO115" s="2">
        <v>0</v>
      </c>
    </row>
    <row r="116" spans="73:93" x14ac:dyDescent="0.25">
      <c r="CN116" s="2">
        <v>0</v>
      </c>
      <c r="CO116" s="2">
        <v>0</v>
      </c>
    </row>
    <row r="117" spans="73:93" x14ac:dyDescent="0.25">
      <c r="CN117" s="2">
        <v>0</v>
      </c>
      <c r="CO117" s="2">
        <v>0</v>
      </c>
    </row>
    <row r="118" spans="73:93" x14ac:dyDescent="0.25">
      <c r="CN118" s="2">
        <v>0</v>
      </c>
      <c r="CO118" s="2">
        <v>0</v>
      </c>
    </row>
    <row r="119" spans="73:93" x14ac:dyDescent="0.25">
      <c r="CN119" s="2">
        <v>0</v>
      </c>
      <c r="CO119" s="2">
        <v>0</v>
      </c>
    </row>
    <row r="120" spans="73:93" x14ac:dyDescent="0.25">
      <c r="BU120" s="2">
        <v>0</v>
      </c>
      <c r="BV120" s="2">
        <v>0</v>
      </c>
      <c r="BW120" s="2">
        <v>0</v>
      </c>
      <c r="BX120" s="2">
        <v>0</v>
      </c>
      <c r="BY120" s="2">
        <v>0</v>
      </c>
      <c r="BZ120" s="2">
        <v>0</v>
      </c>
      <c r="CA120" s="2">
        <v>0</v>
      </c>
      <c r="CB120" s="2">
        <v>0</v>
      </c>
      <c r="CC120" s="2">
        <v>0</v>
      </c>
      <c r="CD120" s="2">
        <v>0</v>
      </c>
      <c r="CE120" s="2">
        <v>0</v>
      </c>
      <c r="CF120" s="2">
        <v>0</v>
      </c>
      <c r="CG120" s="2">
        <v>0</v>
      </c>
      <c r="CH120" s="2">
        <v>0</v>
      </c>
      <c r="CI120" s="2">
        <v>0</v>
      </c>
      <c r="CJ120" s="2">
        <v>0</v>
      </c>
      <c r="CK120" s="2">
        <v>0</v>
      </c>
      <c r="CL120" s="2">
        <v>0</v>
      </c>
      <c r="CM120" s="2">
        <v>0</v>
      </c>
      <c r="CN120" s="2">
        <v>0</v>
      </c>
      <c r="CO120" s="2">
        <v>0</v>
      </c>
    </row>
    <row r="121" spans="73:93" x14ac:dyDescent="0.25">
      <c r="BV121" s="2">
        <v>0</v>
      </c>
      <c r="BW121" s="2">
        <v>0</v>
      </c>
      <c r="BX121" s="2">
        <v>0</v>
      </c>
      <c r="BY121" s="2">
        <v>0</v>
      </c>
      <c r="BZ121" s="2">
        <v>0</v>
      </c>
      <c r="CA121" s="2">
        <v>0</v>
      </c>
      <c r="CB121" s="2">
        <v>0</v>
      </c>
      <c r="CC121" s="2">
        <v>0</v>
      </c>
      <c r="CD121" s="2">
        <v>0</v>
      </c>
      <c r="CE121" s="2">
        <v>0</v>
      </c>
      <c r="CF121" s="2">
        <v>0</v>
      </c>
      <c r="CG121" s="2">
        <v>0</v>
      </c>
      <c r="CH121" s="2">
        <v>0</v>
      </c>
      <c r="CI121" s="2">
        <v>0</v>
      </c>
      <c r="CJ121" s="2">
        <v>0</v>
      </c>
      <c r="CK121" s="2">
        <v>0</v>
      </c>
      <c r="CL121" s="2">
        <v>0</v>
      </c>
      <c r="CM121" s="2">
        <v>0</v>
      </c>
      <c r="CN121" s="2">
        <v>0</v>
      </c>
      <c r="CO121" s="2">
        <v>0</v>
      </c>
    </row>
    <row r="122" spans="73:93" x14ac:dyDescent="0.25">
      <c r="BW122" s="2">
        <v>0</v>
      </c>
      <c r="BX122" s="2">
        <v>0</v>
      </c>
      <c r="BY122" s="2">
        <v>0</v>
      </c>
      <c r="BZ122" s="2">
        <v>0</v>
      </c>
      <c r="CA122" s="2">
        <v>0</v>
      </c>
      <c r="CB122" s="2">
        <v>0</v>
      </c>
      <c r="CC122" s="2">
        <v>0</v>
      </c>
      <c r="CD122" s="2">
        <v>0</v>
      </c>
      <c r="CE122" s="2">
        <v>0</v>
      </c>
      <c r="CF122" s="2">
        <v>0</v>
      </c>
      <c r="CG122" s="2">
        <v>0</v>
      </c>
      <c r="CH122" s="2">
        <v>0</v>
      </c>
      <c r="CI122" s="2">
        <v>0</v>
      </c>
      <c r="CJ122" s="2">
        <v>0</v>
      </c>
      <c r="CK122" s="2">
        <v>0</v>
      </c>
      <c r="CL122" s="2">
        <v>0</v>
      </c>
      <c r="CM122" s="2">
        <v>0</v>
      </c>
      <c r="CN122" s="2">
        <v>0</v>
      </c>
      <c r="CO122" s="2">
        <v>0</v>
      </c>
    </row>
    <row r="123" spans="73:93" x14ac:dyDescent="0.25">
      <c r="BX123" s="2">
        <v>0</v>
      </c>
      <c r="BY123" s="2">
        <v>0</v>
      </c>
      <c r="BZ123" s="2">
        <v>0</v>
      </c>
      <c r="CA123" s="2">
        <v>0</v>
      </c>
      <c r="CB123" s="2">
        <v>0</v>
      </c>
      <c r="CC123" s="2">
        <v>0</v>
      </c>
      <c r="CD123" s="2">
        <v>0</v>
      </c>
      <c r="CE123" s="2">
        <v>0</v>
      </c>
      <c r="CF123" s="2">
        <v>0</v>
      </c>
      <c r="CG123" s="2">
        <v>0</v>
      </c>
      <c r="CH123" s="2">
        <v>0</v>
      </c>
      <c r="CI123" s="2">
        <v>0</v>
      </c>
      <c r="CJ123" s="2">
        <v>0</v>
      </c>
      <c r="CK123" s="2">
        <v>0</v>
      </c>
      <c r="CL123" s="2">
        <v>0</v>
      </c>
      <c r="CM123" s="2">
        <v>0</v>
      </c>
      <c r="CN123" s="2">
        <v>0</v>
      </c>
      <c r="CO123" s="2">
        <v>0</v>
      </c>
    </row>
    <row r="124" spans="73:93" x14ac:dyDescent="0.25">
      <c r="BY124" s="2">
        <v>0</v>
      </c>
      <c r="BZ124" s="2">
        <v>0</v>
      </c>
      <c r="CA124" s="2">
        <v>0</v>
      </c>
      <c r="CB124" s="2">
        <v>0</v>
      </c>
      <c r="CC124" s="2">
        <v>0</v>
      </c>
      <c r="CD124" s="2">
        <v>0</v>
      </c>
      <c r="CE124" s="2">
        <v>0</v>
      </c>
      <c r="CF124" s="2">
        <v>0</v>
      </c>
      <c r="CG124" s="2">
        <v>0</v>
      </c>
      <c r="CH124" s="2">
        <v>0</v>
      </c>
      <c r="CI124" s="2">
        <v>0</v>
      </c>
      <c r="CJ124" s="2">
        <v>0</v>
      </c>
      <c r="CK124" s="2">
        <v>0</v>
      </c>
      <c r="CL124" s="2">
        <v>0</v>
      </c>
      <c r="CM124" s="2">
        <v>0</v>
      </c>
      <c r="CN124" s="2">
        <v>0</v>
      </c>
      <c r="CO124" s="2">
        <v>0</v>
      </c>
    </row>
    <row r="125" spans="73:93" x14ac:dyDescent="0.25">
      <c r="BZ125" s="2">
        <v>0</v>
      </c>
      <c r="CA125" s="2">
        <v>0</v>
      </c>
      <c r="CB125" s="2">
        <v>0</v>
      </c>
      <c r="CC125" s="2">
        <v>0</v>
      </c>
      <c r="CD125" s="2">
        <v>0</v>
      </c>
      <c r="CE125" s="2">
        <v>0</v>
      </c>
      <c r="CF125" s="2">
        <v>0</v>
      </c>
      <c r="CG125" s="2">
        <v>0</v>
      </c>
      <c r="CH125" s="2">
        <v>0</v>
      </c>
      <c r="CI125" s="2">
        <v>0</v>
      </c>
      <c r="CJ125" s="2">
        <v>0</v>
      </c>
      <c r="CK125" s="2">
        <v>0</v>
      </c>
      <c r="CL125" s="2">
        <v>0</v>
      </c>
      <c r="CM125" s="2">
        <v>0</v>
      </c>
      <c r="CN125" s="2">
        <v>0</v>
      </c>
      <c r="CO125" s="2">
        <v>0</v>
      </c>
    </row>
    <row r="126" spans="73:93" x14ac:dyDescent="0.25">
      <c r="CA126" s="2">
        <v>0</v>
      </c>
      <c r="CB126" s="2">
        <v>0</v>
      </c>
      <c r="CC126" s="2">
        <v>0</v>
      </c>
      <c r="CD126" s="2">
        <v>0</v>
      </c>
      <c r="CE126" s="2">
        <v>0</v>
      </c>
      <c r="CF126" s="2">
        <v>0</v>
      </c>
      <c r="CG126" s="2">
        <v>0</v>
      </c>
      <c r="CH126" s="2">
        <v>0</v>
      </c>
      <c r="CI126" s="2">
        <v>0</v>
      </c>
      <c r="CJ126" s="2">
        <v>0</v>
      </c>
      <c r="CK126" s="2">
        <v>0</v>
      </c>
      <c r="CL126" s="2">
        <v>0</v>
      </c>
      <c r="CM126" s="2">
        <v>0</v>
      </c>
      <c r="CN126" s="2">
        <v>0</v>
      </c>
      <c r="CO126" s="2">
        <v>0</v>
      </c>
    </row>
    <row r="127" spans="73:93" x14ac:dyDescent="0.25">
      <c r="CB127" s="2">
        <v>0</v>
      </c>
      <c r="CC127" s="2">
        <v>0</v>
      </c>
      <c r="CD127" s="2">
        <v>0</v>
      </c>
      <c r="CE127" s="2">
        <v>0</v>
      </c>
      <c r="CF127" s="2">
        <v>0</v>
      </c>
      <c r="CG127" s="2">
        <v>0</v>
      </c>
      <c r="CH127" s="2">
        <v>0</v>
      </c>
      <c r="CI127" s="2">
        <v>0</v>
      </c>
      <c r="CJ127" s="2">
        <v>0</v>
      </c>
      <c r="CK127" s="2">
        <v>0</v>
      </c>
      <c r="CL127" s="2">
        <v>0</v>
      </c>
      <c r="CM127" s="2">
        <v>0</v>
      </c>
      <c r="CN127" s="2">
        <v>0</v>
      </c>
      <c r="CO127" s="2">
        <v>0</v>
      </c>
    </row>
    <row r="128" spans="73:93" x14ac:dyDescent="0.25">
      <c r="CC128" s="2">
        <v>0</v>
      </c>
      <c r="CD128" s="2">
        <v>0</v>
      </c>
      <c r="CE128" s="2">
        <v>0</v>
      </c>
      <c r="CF128" s="2">
        <v>0</v>
      </c>
      <c r="CG128" s="2">
        <v>0</v>
      </c>
      <c r="CH128" s="2">
        <v>0</v>
      </c>
      <c r="CI128" s="2">
        <v>0</v>
      </c>
      <c r="CJ128" s="2">
        <v>0</v>
      </c>
      <c r="CK128" s="2">
        <v>0</v>
      </c>
      <c r="CL128" s="2">
        <v>0</v>
      </c>
      <c r="CM128" s="2">
        <v>0</v>
      </c>
      <c r="CN128" s="2">
        <v>0</v>
      </c>
      <c r="CO128" s="2">
        <v>0</v>
      </c>
    </row>
    <row r="129" spans="82:93" x14ac:dyDescent="0.25">
      <c r="CD129" s="2">
        <v>0</v>
      </c>
      <c r="CE129" s="2">
        <v>0</v>
      </c>
      <c r="CF129" s="2">
        <v>0</v>
      </c>
      <c r="CG129" s="2">
        <v>0</v>
      </c>
      <c r="CH129" s="2">
        <v>0</v>
      </c>
      <c r="CI129" s="2">
        <v>0</v>
      </c>
      <c r="CJ129" s="2">
        <v>0</v>
      </c>
      <c r="CK129" s="2">
        <v>0</v>
      </c>
      <c r="CL129" s="2">
        <v>0</v>
      </c>
      <c r="CM129" s="2">
        <v>0</v>
      </c>
      <c r="CN129" s="2">
        <v>0</v>
      </c>
      <c r="CO129" s="2">
        <v>0</v>
      </c>
    </row>
    <row r="130" spans="82:93" x14ac:dyDescent="0.25">
      <c r="CE130" s="2">
        <v>0</v>
      </c>
      <c r="CF130" s="2">
        <v>0</v>
      </c>
      <c r="CG130" s="2">
        <v>0</v>
      </c>
      <c r="CH130" s="2">
        <v>0</v>
      </c>
      <c r="CI130" s="2">
        <v>0</v>
      </c>
      <c r="CJ130" s="2">
        <v>0</v>
      </c>
      <c r="CK130" s="2">
        <v>0</v>
      </c>
      <c r="CL130" s="2">
        <v>0</v>
      </c>
      <c r="CM130" s="2">
        <v>0</v>
      </c>
      <c r="CN130" s="2">
        <v>0</v>
      </c>
      <c r="CO130" s="2">
        <v>0</v>
      </c>
    </row>
    <row r="131" spans="82:93" x14ac:dyDescent="0.25">
      <c r="CF131" s="2">
        <v>0</v>
      </c>
      <c r="CG131" s="2">
        <v>0</v>
      </c>
      <c r="CH131" s="2">
        <v>0</v>
      </c>
      <c r="CI131" s="2">
        <v>0</v>
      </c>
      <c r="CJ131" s="2">
        <v>0</v>
      </c>
      <c r="CK131" s="2">
        <v>0</v>
      </c>
      <c r="CL131" s="2">
        <v>0</v>
      </c>
      <c r="CM131" s="2">
        <v>0</v>
      </c>
      <c r="CN131" s="2">
        <v>0</v>
      </c>
      <c r="CO131" s="2">
        <v>0</v>
      </c>
    </row>
    <row r="132" spans="82:93" x14ac:dyDescent="0.25">
      <c r="CG132" s="2">
        <v>0</v>
      </c>
      <c r="CH132" s="2">
        <v>0</v>
      </c>
      <c r="CI132" s="2">
        <v>0</v>
      </c>
      <c r="CJ132" s="2">
        <v>0</v>
      </c>
      <c r="CK132" s="2">
        <v>0</v>
      </c>
      <c r="CL132" s="2">
        <v>0</v>
      </c>
      <c r="CM132" s="2">
        <v>0</v>
      </c>
      <c r="CN132" s="2">
        <v>0</v>
      </c>
      <c r="CO132" s="2">
        <v>0</v>
      </c>
    </row>
    <row r="133" spans="82:93" x14ac:dyDescent="0.25">
      <c r="CH133" s="2">
        <v>0</v>
      </c>
      <c r="CI133" s="2">
        <v>0</v>
      </c>
      <c r="CJ133" s="2">
        <v>0</v>
      </c>
      <c r="CK133" s="2">
        <v>0</v>
      </c>
      <c r="CL133" s="2">
        <v>0</v>
      </c>
      <c r="CM133" s="2">
        <v>0</v>
      </c>
      <c r="CN133" s="2">
        <v>0</v>
      </c>
      <c r="CO133" s="2">
        <v>0</v>
      </c>
    </row>
    <row r="134" spans="82:93" x14ac:dyDescent="0.25">
      <c r="CI134" s="2">
        <v>0</v>
      </c>
      <c r="CJ134" s="2">
        <v>0</v>
      </c>
      <c r="CK134" s="2">
        <v>0</v>
      </c>
      <c r="CL134" s="2">
        <v>0</v>
      </c>
      <c r="CM134" s="2">
        <v>0</v>
      </c>
      <c r="CN134" s="2">
        <v>0</v>
      </c>
      <c r="CO134" s="2">
        <v>0</v>
      </c>
    </row>
    <row r="135" spans="82:93" x14ac:dyDescent="0.25">
      <c r="CJ135" s="2">
        <v>0</v>
      </c>
      <c r="CK135" s="2">
        <v>0</v>
      </c>
      <c r="CL135" s="2">
        <v>0</v>
      </c>
      <c r="CM135" s="2">
        <v>0</v>
      </c>
      <c r="CN135" s="2">
        <v>0</v>
      </c>
      <c r="CO135" s="2">
        <v>0</v>
      </c>
    </row>
    <row r="136" spans="82:93" x14ac:dyDescent="0.25">
      <c r="CK136" s="2">
        <v>0</v>
      </c>
      <c r="CL136" s="2">
        <v>0</v>
      </c>
      <c r="CM136" s="2">
        <v>0</v>
      </c>
      <c r="CN136" s="2">
        <v>0</v>
      </c>
      <c r="CO136" s="2">
        <v>0</v>
      </c>
    </row>
    <row r="137" spans="82:93" x14ac:dyDescent="0.25">
      <c r="CL137" s="2">
        <v>0</v>
      </c>
      <c r="CM137" s="2">
        <v>0</v>
      </c>
      <c r="CN137" s="2">
        <v>0</v>
      </c>
      <c r="CO137" s="2">
        <v>0</v>
      </c>
    </row>
    <row r="138" spans="82:93" x14ac:dyDescent="0.25">
      <c r="CM138" s="2">
        <v>0</v>
      </c>
      <c r="CN138" s="2">
        <v>0</v>
      </c>
      <c r="CO138" s="2">
        <v>0</v>
      </c>
    </row>
    <row r="139" spans="82:93" x14ac:dyDescent="0.25">
      <c r="CN139" s="2">
        <v>0</v>
      </c>
      <c r="CO139" s="2">
        <v>0</v>
      </c>
    </row>
    <row r="140" spans="82:93" x14ac:dyDescent="0.25">
      <c r="CO140" s="2">
        <v>0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12"/>
  <sheetViews>
    <sheetView workbookViewId="0">
      <selection activeCell="G14" sqref="G14"/>
    </sheetView>
  </sheetViews>
  <sheetFormatPr defaultRowHeight="14.4" x14ac:dyDescent="0.3"/>
  <cols>
    <col min="1" max="1" width="26.88671875" customWidth="1"/>
  </cols>
  <sheetData>
    <row r="1" spans="1:7" ht="15.6" x14ac:dyDescent="0.3">
      <c r="A1" s="1" t="s">
        <v>12</v>
      </c>
      <c r="B1" s="2"/>
      <c r="C1" s="2"/>
      <c r="D1" s="2"/>
      <c r="E1" s="2"/>
      <c r="F1" s="2"/>
      <c r="G1" s="2"/>
    </row>
    <row r="2" spans="1:7" x14ac:dyDescent="0.3">
      <c r="A2" s="2"/>
      <c r="B2" s="2"/>
      <c r="C2" s="2"/>
      <c r="D2" s="2"/>
      <c r="E2" s="2"/>
      <c r="F2" s="2"/>
      <c r="G2" s="2"/>
    </row>
    <row r="3" spans="1:7" x14ac:dyDescent="0.3">
      <c r="A3" s="2" t="s">
        <v>13</v>
      </c>
      <c r="B3" s="17">
        <v>-1</v>
      </c>
      <c r="C3" s="2"/>
      <c r="D3" s="2"/>
      <c r="E3" s="2"/>
      <c r="F3" s="2"/>
      <c r="G3" s="2"/>
    </row>
    <row r="4" spans="1:7" x14ac:dyDescent="0.3">
      <c r="A4" s="2" t="s">
        <v>2</v>
      </c>
      <c r="B4" s="13">
        <v>40</v>
      </c>
      <c r="C4" s="2"/>
      <c r="D4" s="2"/>
      <c r="E4" s="2"/>
      <c r="F4" s="2"/>
      <c r="G4" s="2"/>
    </row>
    <row r="5" spans="1:7" x14ac:dyDescent="0.3">
      <c r="A5" s="2" t="s">
        <v>6</v>
      </c>
      <c r="B5" s="14">
        <v>1.25</v>
      </c>
      <c r="C5" s="2"/>
      <c r="D5" s="2"/>
      <c r="E5" s="2"/>
      <c r="F5" s="2"/>
      <c r="G5" s="2"/>
    </row>
    <row r="6" spans="1:7" x14ac:dyDescent="0.3">
      <c r="A6" s="2" t="s">
        <v>7</v>
      </c>
      <c r="B6" s="14">
        <v>0.75</v>
      </c>
      <c r="C6" s="2"/>
      <c r="D6" s="2"/>
      <c r="E6" s="2"/>
      <c r="F6" s="2"/>
      <c r="G6" s="2"/>
    </row>
    <row r="7" spans="1:7" x14ac:dyDescent="0.3">
      <c r="A7" s="2" t="s">
        <v>8</v>
      </c>
      <c r="B7" s="15">
        <v>1</v>
      </c>
      <c r="C7" s="2"/>
      <c r="D7" s="2"/>
      <c r="E7" s="2"/>
      <c r="F7" s="2"/>
      <c r="G7" s="2"/>
    </row>
    <row r="8" spans="1:7" x14ac:dyDescent="0.3">
      <c r="A8" s="2" t="s">
        <v>9</v>
      </c>
      <c r="B8" s="15">
        <v>4</v>
      </c>
      <c r="C8" s="2"/>
      <c r="D8" s="2"/>
      <c r="E8" s="2"/>
      <c r="F8" s="2"/>
      <c r="G8" s="2"/>
    </row>
    <row r="12" spans="1:7" x14ac:dyDescent="0.3">
      <c r="B12" s="1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Arrays</vt:lpstr>
      <vt:lpstr>udf arrays</vt:lpstr>
      <vt:lpstr>change case</vt:lpstr>
      <vt:lpstr>spinner</vt:lpstr>
      <vt:lpstr>combo</vt:lpstr>
      <vt:lpstr>binoval</vt:lpstr>
      <vt:lpstr>stock price evolution</vt:lpstr>
      <vt:lpstr>Arrays!Print_Area</vt:lpstr>
      <vt:lpstr>'udf arrays'!Print_Area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</dc:creator>
  <cp:lastModifiedBy>Mickael Bertolla</cp:lastModifiedBy>
  <dcterms:created xsi:type="dcterms:W3CDTF">2014-11-17T18:29:54Z</dcterms:created>
  <dcterms:modified xsi:type="dcterms:W3CDTF">2021-09-28T20:20:02Z</dcterms:modified>
</cp:coreProperties>
</file>