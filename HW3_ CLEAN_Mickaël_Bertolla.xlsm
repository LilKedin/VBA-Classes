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\L3\"/>
    </mc:Choice>
  </mc:AlternateContent>
  <xr:revisionPtr revIDLastSave="0" documentId="13_ncr:1_{F57FAF59-F8E6-4180-A48E-6F5F338062B7}" xr6:coauthVersionLast="45" xr6:coauthVersionMax="45" xr10:uidLastSave="{00000000-0000-0000-0000-000000000000}"/>
  <bookViews>
    <workbookView xWindow="384" yWindow="384" windowWidth="17280" windowHeight="8964" activeTab="1" xr2:uid="{00000000-000D-0000-FFFF-FFFF00000000}"/>
  </bookViews>
  <sheets>
    <sheet name="Loops_ex" sheetId="4" r:id="rId1"/>
    <sheet name="UPS" sheetId="5" r:id="rId2"/>
  </sheets>
  <functionGroups builtInGroupCount="19"/>
  <definedNames>
    <definedName name="days">#REF!</definedName>
    <definedName name="GDP">#REF!</definedName>
    <definedName name="r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4" l="1"/>
  <c r="K5" i="4" l="1"/>
  <c r="J5" i="4"/>
  <c r="I5" i="4"/>
  <c r="H5" i="4"/>
  <c r="G5" i="4"/>
  <c r="F5" i="4"/>
  <c r="E5" i="4"/>
  <c r="F11" i="4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</calcChain>
</file>

<file path=xl/sharedStrings.xml><?xml version="1.0" encoding="utf-8"?>
<sst xmlns="http://schemas.openxmlformats.org/spreadsheetml/2006/main" count="51" uniqueCount="36">
  <si>
    <t>months</t>
  </si>
  <si>
    <t>Fwd Period</t>
  </si>
  <si>
    <t>Ex. 2</t>
  </si>
  <si>
    <t>Ex. 1, 1-D Loop with UDF</t>
  </si>
  <si>
    <t>K</t>
  </si>
  <si>
    <t>OV/UV?</t>
  </si>
  <si>
    <t>OV</t>
  </si>
  <si>
    <t>Height</t>
  </si>
  <si>
    <t>Width</t>
  </si>
  <si>
    <t>Area</t>
  </si>
  <si>
    <t>Ex. 3</t>
  </si>
  <si>
    <t>pdf</t>
  </si>
  <si>
    <t>cdf</t>
  </si>
  <si>
    <t xml:space="preserve">Exercises 1-3 </t>
  </si>
  <si>
    <t>Date</t>
  </si>
  <si>
    <t>Adj Close</t>
  </si>
  <si>
    <r>
      <t>t</t>
    </r>
    <r>
      <rPr>
        <b/>
        <vertAlign val="subscript"/>
        <sz val="10"/>
        <rFont val="Calibri"/>
        <family val="2"/>
        <scheme val="minor"/>
      </rPr>
      <t>0</t>
    </r>
  </si>
  <si>
    <r>
      <t>t</t>
    </r>
    <r>
      <rPr>
        <b/>
        <vertAlign val="subscript"/>
        <sz val="10"/>
        <rFont val="Calibri"/>
        <family val="2"/>
        <scheme val="minor"/>
      </rPr>
      <t>1</t>
    </r>
  </si>
  <si>
    <r>
      <t>t</t>
    </r>
    <r>
      <rPr>
        <b/>
        <vertAlign val="subscript"/>
        <sz val="10"/>
        <rFont val="Calibri"/>
        <family val="2"/>
        <scheme val="minor"/>
      </rPr>
      <t>2</t>
    </r>
  </si>
  <si>
    <r>
      <t>t</t>
    </r>
    <r>
      <rPr>
        <b/>
        <vertAlign val="subscript"/>
        <sz val="10"/>
        <rFont val="Calibri"/>
        <family val="2"/>
        <scheme val="minor"/>
      </rPr>
      <t>3</t>
    </r>
  </si>
  <si>
    <r>
      <t>t</t>
    </r>
    <r>
      <rPr>
        <b/>
        <vertAlign val="subscript"/>
        <sz val="10"/>
        <rFont val="Calibri"/>
        <family val="2"/>
        <scheme val="minor"/>
      </rPr>
      <t>4</t>
    </r>
  </si>
  <si>
    <r>
      <t>t</t>
    </r>
    <r>
      <rPr>
        <b/>
        <vertAlign val="subscript"/>
        <sz val="10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</si>
  <si>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</si>
  <si>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</si>
  <si>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</si>
  <si>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9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</si>
  <si>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</si>
  <si>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11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</si>
  <si>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0"/>
        <rFont val="Calibri"/>
        <family val="2"/>
        <scheme val="minor"/>
      </rPr>
      <t>12</t>
    </r>
    <r>
      <rPr>
        <sz val="11"/>
        <color theme="1"/>
        <rFont val="Calibri"/>
        <family val="2"/>
        <scheme val="minor"/>
      </rPr>
      <t/>
    </r>
  </si>
  <si>
    <r>
      <t>R</t>
    </r>
    <r>
      <rPr>
        <b/>
        <vertAlign val="subscript"/>
        <sz val="10"/>
        <color theme="1"/>
        <rFont val="Calibri"/>
        <family val="2"/>
        <scheme val="minor"/>
      </rPr>
      <t xml:space="preserve">f  </t>
    </r>
    <r>
      <rPr>
        <b/>
        <sz val="10"/>
        <color theme="1"/>
        <rFont val="Calibri"/>
        <family val="2"/>
        <scheme val="minor"/>
      </rPr>
      <t>cont. rate p.a.</t>
    </r>
  </si>
  <si>
    <r>
      <t>S(t</t>
    </r>
    <r>
      <rPr>
        <b/>
        <vertAlign val="subscript"/>
        <sz val="10"/>
        <color theme="1"/>
        <rFont val="Calibri"/>
        <family val="2"/>
        <scheme val="minor"/>
      </rPr>
      <t>i</t>
    </r>
    <r>
      <rPr>
        <b/>
        <sz val="10"/>
        <color theme="1"/>
        <rFont val="Calibri"/>
        <family val="2"/>
        <scheme val="minor"/>
      </rPr>
      <t>)</t>
    </r>
  </si>
  <si>
    <r>
      <t>F(t</t>
    </r>
    <r>
      <rPr>
        <b/>
        <vertAlign val="subscript"/>
        <sz val="10"/>
        <color theme="1"/>
        <rFont val="Calibri"/>
        <family val="2"/>
        <scheme val="minor"/>
      </rPr>
      <t>i</t>
    </r>
    <r>
      <rPr>
        <b/>
        <sz val="10"/>
        <color theme="1"/>
        <rFont val="Calibri"/>
        <family val="2"/>
        <scheme val="minor"/>
      </rPr>
      <t>)</t>
    </r>
  </si>
  <si>
    <r>
      <t>f(t</t>
    </r>
    <r>
      <rPr>
        <b/>
        <vertAlign val="subscript"/>
        <sz val="10"/>
        <rFont val="Calibri"/>
        <family val="2"/>
        <scheme val="minor"/>
      </rPr>
      <t>i</t>
    </r>
    <r>
      <rPr>
        <b/>
        <sz val="10"/>
        <rFont val="Calibri"/>
        <family val="2"/>
        <scheme val="minor"/>
      </rPr>
      <t>)</t>
    </r>
  </si>
  <si>
    <r>
      <t>F(t</t>
    </r>
    <r>
      <rPr>
        <b/>
        <vertAlign val="subscript"/>
        <sz val="10"/>
        <rFont val="Calibri"/>
        <family val="2"/>
        <scheme val="minor"/>
      </rPr>
      <t>i</t>
    </r>
    <r>
      <rPr>
        <b/>
        <sz val="10"/>
        <rFont val="Calibri"/>
        <family val="2"/>
        <scheme val="minor"/>
      </rPr>
      <t>)</t>
    </r>
  </si>
  <si>
    <t>UV</t>
  </si>
  <si>
    <t>Log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</si>
</sst>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0" tint="-0.34998626667073579"/>
      </bottom>
      <diagonal/>
    </border>
  </borders>
  <cellStyleXfs count="3">
    <xf numFmtId="0" fontId="0" fillId="0" borderId="0"/>
    <xf numFmtId="0" fontId="2" fillId="0" borderId="0"/>
    <xf numFmtId="165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2" fontId="0" fillId="0" borderId="0" xfId="0" applyNumberFormat="1"/>
    <xf numFmtId="0" fontId="3" fillId="0" borderId="0" xfId="0" quotePrefix="1" applyFont="1"/>
    <xf numFmtId="0" fontId="4" fillId="0" borderId="0" xfId="0" applyFont="1"/>
    <xf numFmtId="0" fontId="5" fillId="0" borderId="0" xfId="0" applyFont="1"/>
    <xf numFmtId="0" fontId="4" fillId="2" borderId="0" xfId="0" applyFont="1" applyFill="1"/>
    <xf numFmtId="0" fontId="6" fillId="0" borderId="0" xfId="0" applyFont="1" applyAlignment="1">
      <alignment horizontal="center"/>
    </xf>
    <xf numFmtId="0" fontId="7" fillId="0" borderId="0" xfId="1" applyFont="1" applyAlignment="1">
      <alignment horizontal="center"/>
    </xf>
    <xf numFmtId="9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2" applyNumberFormat="1" applyFont="1" applyAlignment="1">
      <alignment horizontal="center"/>
    </xf>
    <xf numFmtId="0" fontId="5" fillId="0" borderId="0" xfId="0" quotePrefix="1" applyFont="1"/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2" borderId="0" xfId="0" applyNumberFormat="1" applyFont="1" applyFill="1" applyAlignment="1">
      <alignment horizontal="center"/>
    </xf>
    <xf numFmtId="0" fontId="4" fillId="0" borderId="0" xfId="0" quotePrefix="1" applyFont="1"/>
    <xf numFmtId="0" fontId="7" fillId="0" borderId="0" xfId="1" quotePrefix="1" applyFont="1" applyBorder="1" applyAlignment="1">
      <alignment horizontal="center"/>
    </xf>
    <xf numFmtId="2" fontId="10" fillId="0" borderId="0" xfId="1" applyNumberFormat="1" applyFont="1" applyBorder="1"/>
    <xf numFmtId="2" fontId="10" fillId="0" borderId="1" xfId="1" applyNumberFormat="1" applyFont="1" applyBorder="1"/>
  </cellXfs>
  <cellStyles count="3">
    <cellStyle name="Currency" xfId="2" builtinId="4"/>
    <cellStyle name="Normal" xfId="0" builtinId="0"/>
    <cellStyle name="Normal 4" xfId="1" xr:uid="{00000000-0005-0000-0000-000002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122463</xdr:colOff>
      <xdr:row>16</xdr:row>
      <xdr:rowOff>34018</xdr:rowOff>
    </xdr:from>
    <xdr:ext cx="6653893" cy="32861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3347356" y="2918732"/>
              <a:ext cx="6653893" cy="3286126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𝟏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latin typeface="+mn-lt"/>
                </a:rPr>
                <a:t> 1D</a:t>
              </a:r>
              <a:r>
                <a:rPr lang="en-US" sz="1100" b="1" i="1" baseline="0">
                  <a:solidFill>
                    <a:srgbClr val="0000FF"/>
                  </a:solidFill>
                  <a:latin typeface="+mn-lt"/>
                </a:rPr>
                <a:t> loop</a:t>
              </a:r>
              <a:endParaRPr lang="en-US" sz="1100" b="1" i="1">
                <a:solidFill>
                  <a:srgbClr val="0000FF"/>
                </a:solidFill>
                <a:latin typeface="+mn-lt"/>
              </a:endParaRPr>
            </a:p>
            <a:p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</a:rPr>
                <a:t>Create for-next loop that populates range D6:K6 with respective height and</a:t>
              </a:r>
            </a:p>
            <a:p>
              <a:r>
                <a:rPr lang="en-US" sz="1100" b="0" i="0" baseline="0">
                  <a:solidFill>
                    <a:sysClr val="windowText" lastClr="000000"/>
                  </a:solidFill>
                  <a:effectLst/>
                  <a:latin typeface="+mn-lt"/>
                </a:rPr>
                <a:t>width values in range D4:K5</a:t>
              </a:r>
              <a:endParaRPr lang="en-US" b="0">
                <a:effectLst/>
                <a:latin typeface="+mn-lt"/>
              </a:endParaRPr>
            </a:p>
            <a:p>
              <a:endParaRPr lang="en-US" sz="1100" b="1" i="1">
                <a:solidFill>
                  <a:srgbClr val="0000FF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𝟐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1D</a:t>
              </a:r>
              <a:r>
                <a:rPr lang="en-US" sz="1100" b="1" i="1" baseline="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loop with condition</a:t>
              </a:r>
              <a:endParaRPr lang="en-US">
                <a:solidFill>
                  <a:srgbClr val="0000FF"/>
                </a:solidFill>
                <a:effectLst/>
                <a:latin typeface="+mn-lt"/>
              </a:endParaRP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Create for-next loop that calculates the future value, </a:t>
              </a:r>
              <a14:m>
                <m:oMath xmlns:m="http://schemas.openxmlformats.org/officeDocument/2006/math"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𝑭</m:t>
                  </m:r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sSub>
                    <m:sSubPr>
                      <m:ctrlPr>
                        <a:rPr lang="en-US" sz="1100" b="1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1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e>
                    <m:sub>
                      <m:r>
                        <a:rPr lang="en-US" sz="1100" b="1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, for </a:t>
              </a:r>
              <a14:m>
                <m:oMath xmlns:m="http://schemas.openxmlformats.org/officeDocument/2006/math"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𝑺</m:t>
                  </m:r>
                  <m:d>
                    <m:dPr>
                      <m:ctrlPr>
                        <a:rPr lang="en-US" sz="1100" b="1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</m:e>
                  </m:d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b="1">
                  <a:effectLst/>
                  <a:latin typeface="+mn-lt"/>
                </a:rPr>
                <a:t>values in range E14</a:t>
              </a:r>
              <a:r>
                <a:rPr lang="en-US" b="1" baseline="0">
                  <a:effectLst/>
                  <a:latin typeface="+mn-lt"/>
                </a:rPr>
                <a:t> using continuous </a:t>
              </a:r>
            </a:p>
            <a:p>
              <a:r>
                <a:rPr lang="en-US" b="1" baseline="0">
                  <a:effectLst/>
                  <a:latin typeface="+mn-lt"/>
                </a:rPr>
                <a:t>compounding- e.g.  </a:t>
              </a:r>
              <a14:m>
                <m:oMath xmlns:m="http://schemas.openxmlformats.org/officeDocument/2006/math"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𝑭</m:t>
                  </m:r>
                  <m:d>
                    <m:d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𝒕</m:t>
                          </m:r>
                        </m:e>
                        <m:sub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𝒊</m:t>
                          </m:r>
                        </m:sub>
                      </m:sSub>
                    </m:e>
                  </m:d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= 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𝑺</m:t>
                  </m:r>
                  <m:d>
                    <m:d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𝒕</m:t>
                          </m:r>
                        </m:e>
                        <m:sub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𝒊</m:t>
                          </m:r>
                        </m:sub>
                      </m:sSub>
                    </m:e>
                  </m:d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× </m:t>
                  </m:r>
                  <m:sSup>
                    <m:sSup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𝒆</m:t>
                      </m:r>
                    </m:e>
                    <m:sup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𝒓𝒕</m:t>
                      </m:r>
                    </m:sup>
                  </m:sSup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, 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𝒇𝒐𝒓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 </m:t>
                  </m:r>
                  <m:sSub>
                    <m:sSub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𝒕</m:t>
                      </m:r>
                    </m:e>
                    <m:sub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𝟎</m:t>
                      </m:r>
                    </m:sub>
                  </m:sSub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 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𝒘𝒆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 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𝒉𝒂𝒗𝒆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 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𝑭</m:t>
                  </m:r>
                  <m:d>
                    <m:d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𝒕</m:t>
                          </m:r>
                        </m:e>
                        <m:sub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𝒐</m:t>
                          </m:r>
                        </m:sub>
                      </m:sSub>
                    </m:e>
                  </m:d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=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𝑺</m:t>
                  </m:r>
                  <m:d>
                    <m:d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𝒕</m:t>
                          </m:r>
                        </m:e>
                        <m:sub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𝒐</m:t>
                          </m:r>
                        </m:sub>
                      </m:sSub>
                    </m:e>
                  </m:d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×</m:t>
                  </m:r>
                  <m:sSup>
                    <m:sSup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𝒆</m:t>
                      </m:r>
                    </m:e>
                    <m:sup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𝒓𝒕</m:t>
                      </m:r>
                    </m:sup>
                  </m:sSup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=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𝟐𝟕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×</m:t>
                  </m:r>
                  <m:sSup>
                    <m:sSupPr>
                      <m:ctrlP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b="1" i="1" baseline="0">
                          <a:effectLst/>
                          <a:latin typeface="Cambria Math" panose="02040503050406030204" pitchFamily="18" charset="0"/>
                        </a:rPr>
                        <m:t>𝒆</m:t>
                      </m:r>
                    </m:e>
                    <m:sup>
                      <m:d>
                        <m:dPr>
                          <m:ctrlP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  <m:t>𝟎𝟖</m:t>
                          </m:r>
                        </m:e>
                      </m:d>
                      <m:d>
                        <m:dPr>
                          <m:ctrlPr>
                            <a:rPr lang="en-US" b="1" i="1" baseline="0">
                              <a:effectLst/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b="1" i="1" baseline="0">
                                  <a:effectLst/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b="1" i="1" baseline="0">
                                  <a:effectLst/>
                                  <a:latin typeface="Cambria Math" panose="02040503050406030204" pitchFamily="18" charset="0"/>
                                </a:rPr>
                                <m:t>𝟏𝟐</m:t>
                              </m:r>
                            </m:num>
                            <m:den>
                              <m:r>
                                <a:rPr lang="en-US" b="1" i="1" baseline="0">
                                  <a:effectLst/>
                                  <a:latin typeface="Cambria Math" panose="02040503050406030204" pitchFamily="18" charset="0"/>
                                </a:rPr>
                                <m:t>𝟏𝟐</m:t>
                              </m:r>
                            </m:den>
                          </m:f>
                        </m:e>
                      </m:d>
                    </m:sup>
                  </m:sSup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=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𝟐𝟗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.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𝟐𝟓</m:t>
                  </m:r>
                  <m:r>
                    <a:rPr lang="en-US" b="1" i="1" baseline="0">
                      <a:effectLst/>
                      <a:latin typeface="Cambria Math" panose="02040503050406030204" pitchFamily="18" charset="0"/>
                    </a:rPr>
                    <m:t> </m:t>
                  </m:r>
                </m:oMath>
              </a14:m>
              <a:endParaRPr lang="en-US">
                <a:effectLst/>
                <a:latin typeface="+mn-lt"/>
              </a:endParaRPr>
            </a:p>
            <a:p>
              <a:r>
                <a:rPr lang="en-US" sz="1100" b="0" i="0">
                  <a:solidFill>
                    <a:sysClr val="windowText" lastClr="000000"/>
                  </a:solidFill>
                  <a:latin typeface="+mn-lt"/>
                </a:rPr>
                <a:t>Complete</a:t>
              </a:r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</a:rPr>
                <a:t> this operation for range E14:P14</a:t>
              </a:r>
            </a:p>
            <a:p>
              <a:r>
                <a:rPr lang="en-US" sz="1100" b="0" i="0">
                  <a:solidFill>
                    <a:sysClr val="windowText" lastClr="000000"/>
                  </a:solidFill>
                  <a:latin typeface="+mn-lt"/>
                </a:rPr>
                <a:t>In range E15:P15, include</a:t>
              </a:r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</a:rPr>
                <a:t> under- or over-valued condition relative to the K value in cell B12.</a:t>
              </a:r>
            </a:p>
            <a:p>
              <a:endParaRPr lang="en-US" sz="1100" b="1" i="0" baseline="0">
                <a:solidFill>
                  <a:sysClr val="windowText" lastClr="000000"/>
                </a:solidFill>
                <a:latin typeface="+mn-lt"/>
              </a:endParaRPr>
            </a:p>
            <a:p>
              <a:r>
                <a:rPr lang="en-US" sz="1100" b="1" i="0" baseline="0">
                  <a:solidFill>
                    <a:sysClr val="windowText" lastClr="000000"/>
                  </a:solidFill>
                  <a:latin typeface="+mn-lt"/>
                </a:rPr>
                <a:t>Undervalued - UV, if </a:t>
              </a:r>
              <a14:m>
                <m:oMath xmlns:m="http://schemas.openxmlformats.org/officeDocument/2006/math">
                  <m:r>
                    <a:rPr lang="en-US" sz="1100" b="1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𝐊</m:t>
                  </m:r>
                  <m:r>
                    <a:rPr lang="en-US" sz="1100" b="1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&lt;</m:t>
                  </m:r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𝑭</m:t>
                  </m:r>
                  <m:d>
                    <m:dPr>
                      <m:ctrlPr>
                        <a:rPr lang="en-US" sz="1100" b="1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e>
                  </m:d>
                </m:oMath>
              </a14:m>
              <a:endParaRPr lang="en-US" sz="1100" b="1" i="0" baseline="0">
                <a:solidFill>
                  <a:sysClr val="windowText" lastClr="000000"/>
                </a:solidFill>
                <a:latin typeface="+mn-lt"/>
              </a:endParaRPr>
            </a:p>
            <a:p>
              <a:r>
                <a:rPr lang="en-US" sz="1100" b="1" i="0" baseline="0">
                  <a:solidFill>
                    <a:sysClr val="windowText" lastClr="000000"/>
                  </a:solidFill>
                  <a:latin typeface="+mn-lt"/>
                </a:rPr>
                <a:t>Overvalued -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OV, if </a:t>
              </a:r>
              <a14:m>
                <m:oMath xmlns:m="http://schemas.openxmlformats.org/officeDocument/2006/math">
                  <m:r>
                    <a:rPr lang="en-US" sz="1100" b="1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𝐊</m:t>
                  </m:r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r>
                    <a:rPr lang="en-US" sz="1100" b="1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𝑭</m:t>
                  </m:r>
                  <m:d>
                    <m:dPr>
                      <m:ctrlPr>
                        <a:rPr lang="en-US" sz="1100" b="1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e>
                  </m:d>
                </m:oMath>
              </a14:m>
              <a:endParaRPr lang="en-US" sz="1100" b="1" i="0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𝟑</m:t>
                  </m:r>
                  <m:r>
                    <a:rPr lang="en-US" sz="1100" b="0" i="1">
                      <a:solidFill>
                        <a:srgbClr val="0000FF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:</m:t>
                  </m:r>
                </m:oMath>
              </a14:m>
              <a:r>
                <a:rPr lang="en-US" sz="1100" b="0" i="1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i="1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Running total, CDF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Complete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column C19:C23 to reflect the CDF underlying the PDF in column B19:B23.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100" b="0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Include message box that reads "We have a well-defined pdf where the sum total equals X" where X is your final sum. 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Include alternative statement if sum does NOT equal 1.</a:t>
              </a:r>
              <a:endParaRPr lang="en-US" b="0" i="0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347356" y="2918732"/>
              <a:ext cx="6653893" cy="3286126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1" i="0">
                  <a:solidFill>
                    <a:srgbClr val="0000FF"/>
                  </a:solidFill>
                  <a:latin typeface="+mn-lt"/>
                </a:rPr>
                <a:t>𝑻𝒂𝒔𝒌 𝟏:</a:t>
              </a:r>
              <a:r>
                <a:rPr lang="en-US" sz="1100" b="1" i="1">
                  <a:solidFill>
                    <a:srgbClr val="0000FF"/>
                  </a:solidFill>
                  <a:latin typeface="+mn-lt"/>
                </a:rPr>
                <a:t> 1D</a:t>
              </a:r>
              <a:r>
                <a:rPr lang="en-US" sz="1100" b="1" i="1" baseline="0">
                  <a:solidFill>
                    <a:srgbClr val="0000FF"/>
                  </a:solidFill>
                  <a:latin typeface="+mn-lt"/>
                </a:rPr>
                <a:t> loop</a:t>
              </a:r>
              <a:endParaRPr lang="en-US" sz="1100" b="1" i="1">
                <a:solidFill>
                  <a:srgbClr val="0000FF"/>
                </a:solidFill>
                <a:latin typeface="+mn-lt"/>
              </a:endParaRPr>
            </a:p>
            <a:p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</a:rPr>
                <a:t>Create for-next loop that populates range D6:K6 with respective height and</a:t>
              </a:r>
            </a:p>
            <a:p>
              <a:r>
                <a:rPr lang="en-US" sz="1100" b="0" i="0" baseline="0">
                  <a:solidFill>
                    <a:sysClr val="windowText" lastClr="000000"/>
                  </a:solidFill>
                  <a:effectLst/>
                  <a:latin typeface="+mn-lt"/>
                </a:rPr>
                <a:t>width values in range D4:K5</a:t>
              </a:r>
              <a:endParaRPr lang="en-US" b="0">
                <a:effectLst/>
                <a:latin typeface="+mn-lt"/>
              </a:endParaRPr>
            </a:p>
            <a:p>
              <a:endParaRPr lang="en-US" sz="1100" b="1" i="1">
                <a:solidFill>
                  <a:srgbClr val="0000FF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 i="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𝑻𝒂𝒔𝒌 𝟐:</a:t>
              </a:r>
              <a:r>
                <a:rPr lang="en-US" sz="1100" b="1" i="1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1D</a:t>
              </a:r>
              <a:r>
                <a:rPr lang="en-US" sz="1100" b="1" i="1" baseline="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loop with condition</a:t>
              </a:r>
              <a:endParaRPr lang="en-US">
                <a:solidFill>
                  <a:srgbClr val="0000FF"/>
                </a:solidFill>
                <a:effectLst/>
                <a:latin typeface="+mn-lt"/>
              </a:endParaRP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Create for-next loop that calculates the future value, 𝑭(𝒕_𝒊) , for 𝑺(𝒕_𝒊 )  </a:t>
              </a:r>
              <a:r>
                <a:rPr lang="en-US" b="1">
                  <a:effectLst/>
                  <a:latin typeface="+mn-lt"/>
                </a:rPr>
                <a:t>values in range E14</a:t>
              </a:r>
              <a:r>
                <a:rPr lang="en-US" b="1" baseline="0">
                  <a:effectLst/>
                  <a:latin typeface="+mn-lt"/>
                </a:rPr>
                <a:t> using continuous </a:t>
              </a:r>
            </a:p>
            <a:p>
              <a:r>
                <a:rPr lang="en-US" b="1" baseline="0">
                  <a:effectLst/>
                  <a:latin typeface="+mn-lt"/>
                </a:rPr>
                <a:t>compounding- e.g.  </a:t>
              </a:r>
              <a:r>
                <a:rPr lang="en-US" b="1" i="0" baseline="0">
                  <a:effectLst/>
                  <a:latin typeface="+mn-lt"/>
                </a:rPr>
                <a:t>𝑭(𝒕_𝒊 )= 𝑺(𝒕_𝒊 )× 𝒆^𝒓𝒕, 𝒇𝒐𝒓 𝒕_𝟎  𝒘𝒆 𝒉𝒂𝒗𝒆 𝑭(𝒕_𝒐 )=𝑺(𝒕_𝒐 )×𝒆^𝒓𝒕=𝟐𝟕×𝒆^(.𝟎𝟖)(𝟏𝟐/𝟏𝟐) =𝟐𝟗.𝟐𝟓 </a:t>
              </a:r>
              <a:endParaRPr lang="en-US">
                <a:effectLst/>
                <a:latin typeface="+mn-lt"/>
              </a:endParaRPr>
            </a:p>
            <a:p>
              <a:r>
                <a:rPr lang="en-US" sz="1100" b="0" i="0">
                  <a:solidFill>
                    <a:sysClr val="windowText" lastClr="000000"/>
                  </a:solidFill>
                  <a:latin typeface="+mn-lt"/>
                </a:rPr>
                <a:t>Complete</a:t>
              </a:r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</a:rPr>
                <a:t> this operation for range E14:P14</a:t>
              </a:r>
            </a:p>
            <a:p>
              <a:r>
                <a:rPr lang="en-US" sz="1100" b="0" i="0">
                  <a:solidFill>
                    <a:sysClr val="windowText" lastClr="000000"/>
                  </a:solidFill>
                  <a:latin typeface="+mn-lt"/>
                </a:rPr>
                <a:t>In range E15:P15, include</a:t>
              </a:r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</a:rPr>
                <a:t> under- or over-valued condition relative to the K value in cell B12.</a:t>
              </a:r>
            </a:p>
            <a:p>
              <a:endParaRPr lang="en-US" sz="1100" b="1" i="0" baseline="0">
                <a:solidFill>
                  <a:sysClr val="windowText" lastClr="000000"/>
                </a:solidFill>
                <a:latin typeface="+mn-lt"/>
              </a:endParaRPr>
            </a:p>
            <a:p>
              <a:r>
                <a:rPr lang="en-US" sz="1100" b="1" i="0" baseline="0">
                  <a:solidFill>
                    <a:sysClr val="windowText" lastClr="000000"/>
                  </a:solidFill>
                  <a:latin typeface="+mn-lt"/>
                </a:rPr>
                <a:t>Undervalued - UV, if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𝐊&lt;𝑭(𝒕_𝒐 )</a:t>
              </a:r>
              <a:endParaRPr lang="en-US" sz="1100" b="1" i="0" baseline="0">
                <a:solidFill>
                  <a:sysClr val="windowText" lastClr="000000"/>
                </a:solidFill>
                <a:latin typeface="+mn-lt"/>
              </a:endParaRPr>
            </a:p>
            <a:p>
              <a:r>
                <a:rPr lang="en-US" sz="1100" b="1" i="0" baseline="0">
                  <a:solidFill>
                    <a:sysClr val="windowText" lastClr="000000"/>
                  </a:solidFill>
                  <a:latin typeface="+mn-lt"/>
                </a:rPr>
                <a:t>Overvalued -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OV, if 𝐊&gt;𝑭(𝒕_𝒐 )</a:t>
              </a:r>
              <a:endParaRPr lang="en-US" sz="1100" b="1" i="0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𝑻𝒂𝒔𝒌 𝟑</a:t>
              </a:r>
              <a:r>
                <a:rPr lang="en-US" sz="1100" b="0" i="0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  <a:r>
                <a:rPr lang="en-US" sz="1100" b="0" i="1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i="1">
                  <a:solidFill>
                    <a:srgbClr val="0000FF"/>
                  </a:solidFill>
                  <a:effectLst/>
                  <a:latin typeface="+mn-lt"/>
                  <a:ea typeface="+mn-ea"/>
                  <a:cs typeface="+mn-cs"/>
                </a:rPr>
                <a:t>Running total, CDF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Complete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column C19:C23 to reflect the CDF underlying the PDF in column B19:B23.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100" b="0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Include message box that reads "We have a well-defined pdf where the sum total equals X" where X is your final sum. 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Include alternative statement if sum does NOT equal 1.</a:t>
              </a:r>
              <a:endParaRPr lang="en-US" b="0" i="0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83820</xdr:colOff>
      <xdr:row>8</xdr:row>
      <xdr:rowOff>76200</xdr:rowOff>
    </xdr:from>
    <xdr:ext cx="6653893" cy="1828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636520" y="1539240"/>
              <a:ext cx="6653893" cy="1828800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𝟒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latin typeface="+mn-lt"/>
                </a:rPr>
                <a:t> 1D</a:t>
              </a:r>
              <a:r>
                <a:rPr lang="en-US" sz="1100" b="1" i="1" baseline="0">
                  <a:solidFill>
                    <a:srgbClr val="0000FF"/>
                  </a:solidFill>
                  <a:latin typeface="+mn-lt"/>
                </a:rPr>
                <a:t> loop</a:t>
              </a:r>
              <a:endParaRPr lang="en-US" sz="1100" b="1" i="1">
                <a:solidFill>
                  <a:srgbClr val="0000FF"/>
                </a:solidFill>
                <a:latin typeface="+mn-lt"/>
              </a:endParaRP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baseline="0">
                  <a:effectLst/>
                  <a:latin typeface="+mn-lt"/>
                </a:rPr>
                <a:t>Find the annual standard deviation (volatility) of log returns based on an array of daily UPS closing stock prices.</a:t>
              </a:r>
            </a:p>
            <a:p>
              <a:r>
                <a:rPr lang="en-US" b="1" baseline="0">
                  <a:effectLst/>
                  <a:latin typeface="+mn-lt"/>
                </a:rPr>
                <a:t>Note:</a:t>
              </a: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baseline="0">
                  <a:effectLst/>
                  <a:latin typeface="+mn-lt"/>
                </a:rPr>
                <a:t>Log return at time t+1 = Log(S</a:t>
              </a:r>
              <a:r>
                <a:rPr lang="en-US" b="1" baseline="-25000">
                  <a:effectLst/>
                  <a:latin typeface="+mn-lt"/>
                </a:rPr>
                <a:t>t+1</a:t>
              </a:r>
              <a:r>
                <a:rPr lang="en-US" b="1" baseline="0">
                  <a:effectLst/>
                  <a:latin typeface="+mn-lt"/>
                </a:rPr>
                <a:t> / S</a:t>
              </a:r>
              <a:r>
                <a:rPr lang="en-US" b="1" baseline="-25000">
                  <a:effectLst/>
                  <a:latin typeface="+mn-lt"/>
                </a:rPr>
                <a:t>t</a:t>
              </a:r>
              <a:r>
                <a:rPr lang="en-US" b="1" baseline="0">
                  <a:effectLst/>
                  <a:latin typeface="+mn-lt"/>
                </a:rPr>
                <a:t>)</a:t>
              </a: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baseline="0">
                  <a:effectLst/>
                  <a:latin typeface="+mn-lt"/>
                </a:rPr>
                <a:t>Annual volatility = daily standard deviation * sqrt(T), where T is your total number days</a:t>
              </a: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i="0">
                  <a:effectLst/>
                  <a:latin typeface="+mn-lt"/>
                </a:rPr>
                <a:t>Place result</a:t>
              </a:r>
              <a:r>
                <a:rPr lang="en-US" b="1" i="0" baseline="0">
                  <a:effectLst/>
                  <a:latin typeface="+mn-lt"/>
                </a:rPr>
                <a:t> in MsgBox or in a cell.</a:t>
              </a:r>
              <a:endParaRPr lang="en-US" b="1" i="0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636520" y="1539240"/>
              <a:ext cx="6653893" cy="1828800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𝑻𝒂𝒔𝒌 𝟒:</a:t>
              </a:r>
              <a:r>
                <a:rPr lang="en-US" sz="1100" b="1" i="1">
                  <a:solidFill>
                    <a:srgbClr val="0000FF"/>
                  </a:solidFill>
                  <a:latin typeface="+mn-lt"/>
                </a:rPr>
                <a:t> 1D</a:t>
              </a:r>
              <a:r>
                <a:rPr lang="en-US" sz="1100" b="1" i="1" baseline="0">
                  <a:solidFill>
                    <a:srgbClr val="0000FF"/>
                  </a:solidFill>
                  <a:latin typeface="+mn-lt"/>
                </a:rPr>
                <a:t> loop</a:t>
              </a:r>
              <a:endParaRPr lang="en-US" sz="1100" b="1" i="1">
                <a:solidFill>
                  <a:srgbClr val="0000FF"/>
                </a:solidFill>
                <a:latin typeface="+mn-lt"/>
              </a:endParaRP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baseline="0">
                  <a:effectLst/>
                  <a:latin typeface="+mn-lt"/>
                </a:rPr>
                <a:t>Find the annual standard deviation (volatility) of log returns based on an array of daily UPS closing stock prices.</a:t>
              </a:r>
            </a:p>
            <a:p>
              <a:r>
                <a:rPr lang="en-US" b="1" baseline="0">
                  <a:effectLst/>
                  <a:latin typeface="+mn-lt"/>
                </a:rPr>
                <a:t>Note:</a:t>
              </a: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baseline="0">
                  <a:effectLst/>
                  <a:latin typeface="+mn-lt"/>
                </a:rPr>
                <a:t>Log return at time t+1 = Log(S</a:t>
              </a:r>
              <a:r>
                <a:rPr lang="en-US" b="1" baseline="-25000">
                  <a:effectLst/>
                  <a:latin typeface="+mn-lt"/>
                </a:rPr>
                <a:t>t+1</a:t>
              </a:r>
              <a:r>
                <a:rPr lang="en-US" b="1" baseline="0">
                  <a:effectLst/>
                  <a:latin typeface="+mn-lt"/>
                </a:rPr>
                <a:t> / S</a:t>
              </a:r>
              <a:r>
                <a:rPr lang="en-US" b="1" baseline="-25000">
                  <a:effectLst/>
                  <a:latin typeface="+mn-lt"/>
                </a:rPr>
                <a:t>t</a:t>
              </a:r>
              <a:r>
                <a:rPr lang="en-US" b="1" baseline="0">
                  <a:effectLst/>
                  <a:latin typeface="+mn-lt"/>
                </a:rPr>
                <a:t>)</a:t>
              </a: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baseline="0">
                  <a:effectLst/>
                  <a:latin typeface="+mn-lt"/>
                </a:rPr>
                <a:t>Annual volatility = daily standard deviation * sqrt(T), where T is your total number days</a:t>
              </a:r>
            </a:p>
            <a:p>
              <a:endParaRPr lang="en-US" b="1" baseline="0">
                <a:effectLst/>
                <a:latin typeface="+mn-lt"/>
              </a:endParaRPr>
            </a:p>
            <a:p>
              <a:r>
                <a:rPr lang="en-US" b="1" i="0">
                  <a:effectLst/>
                  <a:latin typeface="+mn-lt"/>
                </a:rPr>
                <a:t>Place result</a:t>
              </a:r>
              <a:r>
                <a:rPr lang="en-US" b="1" i="0" baseline="0">
                  <a:effectLst/>
                  <a:latin typeface="+mn-lt"/>
                </a:rPr>
                <a:t> in MsgBox or in a cell.</a:t>
              </a:r>
              <a:endParaRPr lang="en-US" b="1" i="0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3"/>
  <sheetViews>
    <sheetView view="pageBreakPreview" zoomScale="85" zoomScaleNormal="100" zoomScaleSheetLayoutView="85" workbookViewId="0">
      <selection activeCell="E19" sqref="E19"/>
    </sheetView>
  </sheetViews>
  <sheetFormatPr defaultRowHeight="13.8" x14ac:dyDescent="0.3"/>
  <cols>
    <col min="1" max="1" width="11.5546875" style="4" customWidth="1"/>
    <col min="2" max="2" width="8.77734375" style="4" customWidth="1"/>
    <col min="3" max="16384" width="8.88671875" style="4"/>
  </cols>
  <sheetData>
    <row r="1" spans="1:17" x14ac:dyDescent="0.3">
      <c r="A1" s="3" t="s">
        <v>13</v>
      </c>
    </row>
    <row r="2" spans="1:17" x14ac:dyDescent="0.3">
      <c r="A2" s="3"/>
    </row>
    <row r="3" spans="1:17" x14ac:dyDescent="0.3">
      <c r="A3" s="3" t="s">
        <v>3</v>
      </c>
    </row>
    <row r="4" spans="1:17" x14ac:dyDescent="0.3">
      <c r="A4" s="3"/>
      <c r="C4" s="5" t="s">
        <v>7</v>
      </c>
      <c r="D4" s="4">
        <v>11</v>
      </c>
      <c r="E4" s="4">
        <v>8</v>
      </c>
      <c r="F4" s="4">
        <v>5</v>
      </c>
      <c r="G4" s="4">
        <v>12</v>
      </c>
      <c r="H4" s="4">
        <v>4</v>
      </c>
      <c r="I4" s="4">
        <v>11</v>
      </c>
      <c r="J4" s="4">
        <v>20</v>
      </c>
      <c r="K4" s="4">
        <v>10</v>
      </c>
    </row>
    <row r="5" spans="1:17" x14ac:dyDescent="0.3">
      <c r="A5" s="3"/>
      <c r="C5" s="5" t="s">
        <v>8</v>
      </c>
      <c r="D5" s="4">
        <f t="shared" ref="D5:K5" ca="1" si="0">+RANDBETWEEN(1,20)</f>
        <v>6</v>
      </c>
      <c r="E5" s="4">
        <f t="shared" ca="1" si="0"/>
        <v>17</v>
      </c>
      <c r="F5" s="4">
        <f t="shared" ca="1" si="0"/>
        <v>4</v>
      </c>
      <c r="G5" s="4">
        <f t="shared" ca="1" si="0"/>
        <v>13</v>
      </c>
      <c r="H5" s="4">
        <f t="shared" ca="1" si="0"/>
        <v>11</v>
      </c>
      <c r="I5" s="4">
        <f t="shared" ca="1" si="0"/>
        <v>18</v>
      </c>
      <c r="J5" s="4">
        <f t="shared" ca="1" si="0"/>
        <v>17</v>
      </c>
      <c r="K5" s="4">
        <f t="shared" ca="1" si="0"/>
        <v>6</v>
      </c>
    </row>
    <row r="6" spans="1:17" x14ac:dyDescent="0.3">
      <c r="A6" s="3"/>
      <c r="C6" s="5" t="s">
        <v>9</v>
      </c>
      <c r="D6" s="6">
        <v>99</v>
      </c>
      <c r="E6" s="6">
        <v>96</v>
      </c>
      <c r="F6" s="6">
        <v>5</v>
      </c>
      <c r="G6" s="6">
        <v>48</v>
      </c>
      <c r="H6" s="6">
        <v>28</v>
      </c>
      <c r="I6" s="6">
        <v>55</v>
      </c>
      <c r="J6" s="6">
        <v>340</v>
      </c>
      <c r="K6" s="6">
        <v>150</v>
      </c>
    </row>
    <row r="7" spans="1:17" x14ac:dyDescent="0.3">
      <c r="A7" s="3"/>
    </row>
    <row r="8" spans="1:17" x14ac:dyDescent="0.3">
      <c r="A8" s="3"/>
    </row>
    <row r="9" spans="1:17" x14ac:dyDescent="0.3">
      <c r="A9" s="3" t="s">
        <v>2</v>
      </c>
    </row>
    <row r="10" spans="1:17" ht="15" x14ac:dyDescent="0.35">
      <c r="A10" s="5" t="s">
        <v>1</v>
      </c>
      <c r="B10" s="7">
        <v>12</v>
      </c>
      <c r="E10" s="8" t="s">
        <v>16</v>
      </c>
      <c r="F10" s="8" t="s">
        <v>17</v>
      </c>
      <c r="G10" s="8" t="s">
        <v>18</v>
      </c>
      <c r="H10" s="8" t="s">
        <v>19</v>
      </c>
      <c r="I10" s="8" t="s">
        <v>20</v>
      </c>
      <c r="J10" s="8" t="s">
        <v>21</v>
      </c>
      <c r="K10" s="8" t="s">
        <v>22</v>
      </c>
      <c r="L10" s="8" t="s">
        <v>23</v>
      </c>
      <c r="M10" s="8" t="s">
        <v>24</v>
      </c>
      <c r="N10" s="8" t="s">
        <v>25</v>
      </c>
      <c r="O10" s="8" t="s">
        <v>26</v>
      </c>
      <c r="P10" s="8" t="s">
        <v>27</v>
      </c>
      <c r="Q10" s="8" t="s">
        <v>28</v>
      </c>
    </row>
    <row r="11" spans="1:17" ht="15" x14ac:dyDescent="0.35">
      <c r="A11" s="5" t="s">
        <v>29</v>
      </c>
      <c r="B11" s="9">
        <v>0.08</v>
      </c>
      <c r="D11" s="5" t="s">
        <v>0</v>
      </c>
      <c r="E11" s="10">
        <v>12</v>
      </c>
      <c r="F11" s="10">
        <f>E11-1</f>
        <v>11</v>
      </c>
      <c r="G11" s="10">
        <f t="shared" ref="G11:Q11" si="1">F11-1</f>
        <v>10</v>
      </c>
      <c r="H11" s="10">
        <f t="shared" si="1"/>
        <v>9</v>
      </c>
      <c r="I11" s="10">
        <f t="shared" si="1"/>
        <v>8</v>
      </c>
      <c r="J11" s="10">
        <f t="shared" si="1"/>
        <v>7</v>
      </c>
      <c r="K11" s="10">
        <f t="shared" si="1"/>
        <v>6</v>
      </c>
      <c r="L11" s="10">
        <f t="shared" si="1"/>
        <v>5</v>
      </c>
      <c r="M11" s="10">
        <f t="shared" si="1"/>
        <v>4</v>
      </c>
      <c r="N11" s="10">
        <f t="shared" si="1"/>
        <v>3</v>
      </c>
      <c r="O11" s="10">
        <f t="shared" si="1"/>
        <v>2</v>
      </c>
      <c r="P11" s="10">
        <f t="shared" si="1"/>
        <v>1</v>
      </c>
      <c r="Q11" s="10">
        <f t="shared" si="1"/>
        <v>0</v>
      </c>
    </row>
    <row r="12" spans="1:17" x14ac:dyDescent="0.3">
      <c r="A12" s="5" t="s">
        <v>4</v>
      </c>
      <c r="B12" s="11">
        <v>30</v>
      </c>
    </row>
    <row r="13" spans="1:17" ht="15" x14ac:dyDescent="0.35">
      <c r="D13" s="12" t="s">
        <v>30</v>
      </c>
      <c r="E13" s="13">
        <v>27</v>
      </c>
      <c r="F13" s="13">
        <v>23</v>
      </c>
      <c r="G13" s="13">
        <v>22</v>
      </c>
      <c r="H13" s="13">
        <v>22</v>
      </c>
      <c r="I13" s="13">
        <v>25</v>
      </c>
      <c r="J13" s="13">
        <v>25</v>
      </c>
      <c r="K13" s="13">
        <v>30</v>
      </c>
      <c r="L13" s="13">
        <v>23</v>
      </c>
      <c r="M13" s="13">
        <v>26</v>
      </c>
      <c r="N13" s="13">
        <v>23</v>
      </c>
      <c r="O13" s="13">
        <v>21</v>
      </c>
      <c r="P13" s="13">
        <v>27</v>
      </c>
      <c r="Q13" s="14"/>
    </row>
    <row r="14" spans="1:17" ht="15" x14ac:dyDescent="0.35">
      <c r="D14" s="12" t="s">
        <v>31</v>
      </c>
      <c r="E14" s="15">
        <v>29.248750827223883</v>
      </c>
      <c r="F14" s="15">
        <v>24.750050991185173</v>
      </c>
      <c r="G14" s="15">
        <v>23.516660326439421</v>
      </c>
      <c r="H14" s="15">
        <v>23.360404023997912</v>
      </c>
      <c r="I14" s="15">
        <v>26.369529506341578</v>
      </c>
      <c r="J14" s="15">
        <v>26.194317332479006</v>
      </c>
      <c r="K14" s="15">
        <v>31.224323225771645</v>
      </c>
      <c r="L14" s="15">
        <v>23.779587610812204</v>
      </c>
      <c r="M14" s="15">
        <v>26.70266050137095</v>
      </c>
      <c r="N14" s="15">
        <v>23.464630820615383</v>
      </c>
      <c r="O14" s="15">
        <v>21.281874990691193</v>
      </c>
      <c r="P14" s="15">
        <v>27.180601335558524</v>
      </c>
    </row>
    <row r="15" spans="1:17" x14ac:dyDescent="0.3">
      <c r="D15" s="12" t="s">
        <v>5</v>
      </c>
      <c r="E15" s="14" t="s">
        <v>6</v>
      </c>
      <c r="F15" s="14" t="s">
        <v>6</v>
      </c>
      <c r="G15" s="14" t="s">
        <v>6</v>
      </c>
      <c r="H15" s="14" t="s">
        <v>6</v>
      </c>
      <c r="I15" s="14" t="s">
        <v>6</v>
      </c>
      <c r="J15" s="14" t="s">
        <v>6</v>
      </c>
      <c r="K15" s="14" t="s">
        <v>34</v>
      </c>
      <c r="L15" s="14" t="s">
        <v>6</v>
      </c>
      <c r="M15" s="14" t="s">
        <v>6</v>
      </c>
      <c r="N15" s="14" t="s">
        <v>6</v>
      </c>
      <c r="O15" s="14" t="s">
        <v>6</v>
      </c>
      <c r="P15" s="14" t="s">
        <v>6</v>
      </c>
    </row>
    <row r="16" spans="1:17" x14ac:dyDescent="0.3">
      <c r="D16" s="12"/>
    </row>
    <row r="17" spans="1:4" x14ac:dyDescent="0.3">
      <c r="B17" s="10" t="s">
        <v>11</v>
      </c>
      <c r="C17" s="10" t="s">
        <v>12</v>
      </c>
      <c r="D17" s="16"/>
    </row>
    <row r="18" spans="1:4" ht="15" x14ac:dyDescent="0.35">
      <c r="A18" s="3" t="s">
        <v>10</v>
      </c>
      <c r="B18" s="17" t="s">
        <v>32</v>
      </c>
      <c r="C18" s="17" t="s">
        <v>33</v>
      </c>
    </row>
    <row r="19" spans="1:4" ht="15" x14ac:dyDescent="0.35">
      <c r="A19" s="8" t="s">
        <v>16</v>
      </c>
      <c r="B19" s="18">
        <v>0.05</v>
      </c>
      <c r="C19" s="6">
        <v>0.05</v>
      </c>
    </row>
    <row r="20" spans="1:4" ht="15" x14ac:dyDescent="0.35">
      <c r="A20" s="8" t="s">
        <v>17</v>
      </c>
      <c r="B20" s="18">
        <v>0.2</v>
      </c>
      <c r="C20" s="6">
        <v>0.25</v>
      </c>
    </row>
    <row r="21" spans="1:4" ht="15" x14ac:dyDescent="0.35">
      <c r="A21" s="8" t="s">
        <v>18</v>
      </c>
      <c r="B21" s="18">
        <v>0.5</v>
      </c>
      <c r="C21" s="6">
        <v>0.75</v>
      </c>
    </row>
    <row r="22" spans="1:4" ht="15" x14ac:dyDescent="0.35">
      <c r="A22" s="8" t="s">
        <v>19</v>
      </c>
      <c r="B22" s="18">
        <v>0.2</v>
      </c>
      <c r="C22" s="6">
        <v>0.95</v>
      </c>
    </row>
    <row r="23" spans="1:4" ht="15.6" thickBot="1" x14ac:dyDescent="0.4">
      <c r="A23" s="8" t="s">
        <v>20</v>
      </c>
      <c r="B23" s="19">
        <v>0.05</v>
      </c>
      <c r="C23" s="6">
        <v>1</v>
      </c>
    </row>
  </sheetData>
  <pageMargins left="0.7" right="0.7" top="0.75" bottom="0.75" header="0.3" footer="0.3"/>
  <pageSetup scale="4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51"/>
  <sheetViews>
    <sheetView tabSelected="1" workbookViewId="0">
      <selection activeCell="I6" sqref="I6"/>
    </sheetView>
  </sheetViews>
  <sheetFormatPr defaultRowHeight="14.4" x14ac:dyDescent="0.3"/>
  <cols>
    <col min="1" max="1" width="10.5546875" bestFit="1" customWidth="1"/>
  </cols>
  <sheetData>
    <row r="1" spans="1:3" x14ac:dyDescent="0.3">
      <c r="A1" t="s">
        <v>14</v>
      </c>
      <c r="B1" t="s">
        <v>15</v>
      </c>
      <c r="C1" t="s">
        <v>35</v>
      </c>
    </row>
    <row r="2" spans="1:3" x14ac:dyDescent="0.3">
      <c r="A2" s="1">
        <v>43437</v>
      </c>
      <c r="B2" s="2">
        <v>111.362213</v>
      </c>
      <c r="C2">
        <v>-7.6600261743418635E-2</v>
      </c>
    </row>
    <row r="3" spans="1:3" x14ac:dyDescent="0.3">
      <c r="A3" s="1">
        <v>43438</v>
      </c>
      <c r="B3" s="2">
        <v>103.150368</v>
      </c>
      <c r="C3">
        <v>1.1824670402408956E-2</v>
      </c>
    </row>
    <row r="4" spans="1:3" x14ac:dyDescent="0.3">
      <c r="A4" s="1">
        <v>43440</v>
      </c>
      <c r="B4" s="2">
        <v>104.37732699999999</v>
      </c>
      <c r="C4">
        <v>-2.5498301870026035E-2</v>
      </c>
    </row>
    <row r="5" spans="1:3" x14ac:dyDescent="0.3">
      <c r="A5" s="1">
        <v>43441</v>
      </c>
      <c r="B5" s="2">
        <v>101.749527</v>
      </c>
      <c r="C5">
        <v>-8.7735708588683892E-3</v>
      </c>
    </row>
    <row r="6" spans="1:3" x14ac:dyDescent="0.3">
      <c r="A6" s="1">
        <v>43444</v>
      </c>
      <c r="B6" s="2">
        <v>100.860725</v>
      </c>
      <c r="C6">
        <v>-7.8854534586323844E-3</v>
      </c>
    </row>
    <row r="7" spans="1:3" x14ac:dyDescent="0.3">
      <c r="A7" s="1">
        <v>43445</v>
      </c>
      <c r="B7" s="2">
        <v>100.06852000000001</v>
      </c>
      <c r="C7">
        <v>-2.3146732634831912E-2</v>
      </c>
    </row>
    <row r="8" spans="1:3" x14ac:dyDescent="0.3">
      <c r="A8" s="1">
        <v>43446</v>
      </c>
      <c r="B8" s="2">
        <v>97.778862000000004</v>
      </c>
      <c r="C8">
        <v>-4.2576275995005594E-3</v>
      </c>
    </row>
    <row r="9" spans="1:3" x14ac:dyDescent="0.3">
      <c r="A9" s="1">
        <v>43447</v>
      </c>
      <c r="B9" s="2">
        <v>97.363440999999995</v>
      </c>
      <c r="C9">
        <v>-2.126020638764578E-2</v>
      </c>
    </row>
    <row r="10" spans="1:3" x14ac:dyDescent="0.3">
      <c r="A10" s="1">
        <v>43448</v>
      </c>
      <c r="B10" s="2">
        <v>95.315323000000006</v>
      </c>
      <c r="C10">
        <v>-1.8309795762261077E-2</v>
      </c>
    </row>
    <row r="11" spans="1:3" x14ac:dyDescent="0.3">
      <c r="A11" s="1">
        <v>43451</v>
      </c>
      <c r="B11" s="2">
        <v>93.585999000000001</v>
      </c>
      <c r="C11">
        <v>4.2234858013884156E-3</v>
      </c>
    </row>
    <row r="12" spans="1:3" x14ac:dyDescent="0.3">
      <c r="A12" s="1">
        <v>43452</v>
      </c>
      <c r="B12" s="2">
        <v>93.982094000000004</v>
      </c>
      <c r="C12">
        <v>-3.0900211029900062E-2</v>
      </c>
    </row>
    <row r="13" spans="1:3" x14ac:dyDescent="0.3">
      <c r="A13" s="1">
        <v>43453</v>
      </c>
      <c r="B13" s="2">
        <v>91.122437000000005</v>
      </c>
      <c r="C13">
        <v>-4.0369146235564365E-3</v>
      </c>
    </row>
    <row r="14" spans="1:3" x14ac:dyDescent="0.3">
      <c r="A14" s="1">
        <v>43454</v>
      </c>
      <c r="B14" s="2">
        <v>90.755324999999999</v>
      </c>
      <c r="C14">
        <v>-4.6947946036735612E-3</v>
      </c>
    </row>
    <row r="15" spans="1:3" x14ac:dyDescent="0.3">
      <c r="A15" s="1">
        <v>43455</v>
      </c>
      <c r="B15" s="2">
        <v>90.330246000000002</v>
      </c>
      <c r="C15">
        <v>-3.9374828007338825E-2</v>
      </c>
    </row>
    <row r="16" spans="1:3" x14ac:dyDescent="0.3">
      <c r="A16" s="1">
        <v>43458</v>
      </c>
      <c r="B16" s="2">
        <v>86.842620999999994</v>
      </c>
      <c r="C16">
        <v>7.2095587877891082E-2</v>
      </c>
    </row>
    <row r="17" spans="1:3" x14ac:dyDescent="0.3">
      <c r="A17" s="1">
        <v>43460</v>
      </c>
      <c r="B17" s="2">
        <v>93.334807999999995</v>
      </c>
      <c r="C17">
        <v>1.2037773764159041E-2</v>
      </c>
    </row>
    <row r="18" spans="1:3" x14ac:dyDescent="0.3">
      <c r="A18" s="1">
        <v>43461</v>
      </c>
      <c r="B18" s="2">
        <v>94.465141000000003</v>
      </c>
      <c r="C18">
        <v>-1.2866243051407353E-2</v>
      </c>
    </row>
    <row r="19" spans="1:3" x14ac:dyDescent="0.3">
      <c r="A19" s="1">
        <v>43462</v>
      </c>
      <c r="B19" s="2">
        <v>93.257514999999998</v>
      </c>
      <c r="C19">
        <v>1.0306226936134678E-2</v>
      </c>
    </row>
    <row r="20" spans="1:3" x14ac:dyDescent="0.3">
      <c r="A20" s="1">
        <v>43465</v>
      </c>
      <c r="B20" s="2">
        <v>94.223618000000002</v>
      </c>
      <c r="C20">
        <v>-3.2864295206555252E-3</v>
      </c>
    </row>
    <row r="21" spans="1:3" x14ac:dyDescent="0.3">
      <c r="A21" s="1">
        <v>43467</v>
      </c>
      <c r="B21" s="2">
        <v>93.914467000000002</v>
      </c>
      <c r="C21">
        <v>-2.8803017397812616E-2</v>
      </c>
    </row>
    <row r="22" spans="1:3" x14ac:dyDescent="0.3">
      <c r="A22" s="1">
        <v>43468</v>
      </c>
      <c r="B22" s="2">
        <v>91.248031999999995</v>
      </c>
      <c r="C22">
        <v>3.424039253059942E-2</v>
      </c>
    </row>
    <row r="23" spans="1:3" x14ac:dyDescent="0.3">
      <c r="A23" s="1">
        <v>43469</v>
      </c>
      <c r="B23" s="2">
        <v>94.426506000000003</v>
      </c>
      <c r="C23">
        <v>-3.3821484473579135E-3</v>
      </c>
    </row>
    <row r="24" spans="1:3" x14ac:dyDescent="0.3">
      <c r="A24" s="1">
        <v>43472</v>
      </c>
      <c r="B24" s="2">
        <v>94.107680999999999</v>
      </c>
      <c r="C24">
        <v>1.0271747662746306E-4</v>
      </c>
    </row>
    <row r="25" spans="1:3" x14ac:dyDescent="0.3">
      <c r="A25" s="1">
        <v>43473</v>
      </c>
      <c r="B25" s="2">
        <v>94.117348000000007</v>
      </c>
      <c r="C25">
        <v>5.1192648581940489E-3</v>
      </c>
    </row>
    <row r="26" spans="1:3" x14ac:dyDescent="0.3">
      <c r="A26" s="1">
        <v>43474</v>
      </c>
      <c r="B26" s="2">
        <v>94.600395000000006</v>
      </c>
      <c r="C26">
        <v>1.005959169167998E-2</v>
      </c>
    </row>
    <row r="27" spans="1:3" x14ac:dyDescent="0.3">
      <c r="A27" s="1">
        <v>43475</v>
      </c>
      <c r="B27" s="2">
        <v>95.556838999999997</v>
      </c>
      <c r="C27">
        <v>-1.0161700072314256E-2</v>
      </c>
    </row>
    <row r="28" spans="1:3" x14ac:dyDescent="0.3">
      <c r="A28" s="1">
        <v>43476</v>
      </c>
      <c r="B28" s="2">
        <v>94.590736000000007</v>
      </c>
      <c r="C28">
        <v>1.2484297428666741E-2</v>
      </c>
    </row>
    <row r="29" spans="1:3" x14ac:dyDescent="0.3">
      <c r="A29" s="1">
        <v>43479</v>
      </c>
      <c r="B29" s="2">
        <v>95.779037000000002</v>
      </c>
      <c r="C29">
        <v>-1.6065407198737038E-2</v>
      </c>
    </row>
    <row r="30" spans="1:3" x14ac:dyDescent="0.3">
      <c r="A30" s="1">
        <v>43480</v>
      </c>
      <c r="B30" s="2">
        <v>94.252601999999996</v>
      </c>
      <c r="C30">
        <v>-5.8596787061857714E-3</v>
      </c>
    </row>
    <row r="31" spans="1:3" x14ac:dyDescent="0.3">
      <c r="A31" s="1">
        <v>43481</v>
      </c>
      <c r="B31" s="2">
        <v>93.701926999999998</v>
      </c>
      <c r="C31">
        <v>2.6353554264282406E-2</v>
      </c>
    </row>
    <row r="32" spans="1:3" x14ac:dyDescent="0.3">
      <c r="A32" s="1">
        <v>43482</v>
      </c>
      <c r="B32" s="2">
        <v>96.204132000000001</v>
      </c>
      <c r="C32">
        <v>2.0081991702855548E-2</v>
      </c>
    </row>
    <row r="33" spans="1:3" x14ac:dyDescent="0.3">
      <c r="A33" s="1">
        <v>43483</v>
      </c>
      <c r="B33" s="2">
        <v>98.155631999999997</v>
      </c>
      <c r="C33">
        <v>1.0573995866624296E-2</v>
      </c>
    </row>
    <row r="34" spans="1:3" x14ac:dyDescent="0.3">
      <c r="A34" s="1">
        <v>43487</v>
      </c>
      <c r="B34" s="2">
        <v>99.199036000000007</v>
      </c>
      <c r="C34">
        <v>-1.7289374998667322E-2</v>
      </c>
    </row>
    <row r="35" spans="1:3" x14ac:dyDescent="0.3">
      <c r="A35" s="1">
        <v>43488</v>
      </c>
      <c r="B35" s="2">
        <v>97.498688000000001</v>
      </c>
      <c r="C35">
        <v>-1.2162472749914064E-2</v>
      </c>
    </row>
    <row r="36" spans="1:3" x14ac:dyDescent="0.3">
      <c r="A36" s="1">
        <v>43489</v>
      </c>
      <c r="B36" s="2">
        <v>96.320044999999993</v>
      </c>
      <c r="C36">
        <v>1.1270401435403074E-2</v>
      </c>
    </row>
    <row r="37" spans="1:3" x14ac:dyDescent="0.3">
      <c r="A37" s="1">
        <v>43490</v>
      </c>
      <c r="B37" s="2">
        <v>97.411750999999995</v>
      </c>
      <c r="C37">
        <v>-4.9711625637639516E-3</v>
      </c>
    </row>
    <row r="38" spans="1:3" x14ac:dyDescent="0.3">
      <c r="A38" s="1">
        <v>43493</v>
      </c>
      <c r="B38" s="2">
        <v>96.928702999999999</v>
      </c>
      <c r="C38">
        <v>9.6216078755045481E-3</v>
      </c>
    </row>
    <row r="39" spans="1:3" x14ac:dyDescent="0.3">
      <c r="A39" s="1">
        <v>43494</v>
      </c>
      <c r="B39" s="2">
        <v>97.865814</v>
      </c>
      <c r="C39">
        <v>-1.0864645722817943E-3</v>
      </c>
    </row>
    <row r="40" spans="1:3" x14ac:dyDescent="0.3">
      <c r="A40" s="1">
        <v>43495</v>
      </c>
      <c r="B40" s="2">
        <v>97.759544000000005</v>
      </c>
      <c r="C40">
        <v>4.0762696249880576E-2</v>
      </c>
    </row>
    <row r="41" spans="1:3" x14ac:dyDescent="0.3">
      <c r="A41" s="1">
        <v>43496</v>
      </c>
      <c r="B41" s="2">
        <v>101.82682</v>
      </c>
      <c r="C41">
        <v>6.5251034882527108E-3</v>
      </c>
    </row>
    <row r="42" spans="1:3" x14ac:dyDescent="0.3">
      <c r="A42" s="1">
        <v>43497</v>
      </c>
      <c r="B42" s="2">
        <v>102.49342300000001</v>
      </c>
      <c r="C42">
        <v>4.6080920493617077E-3</v>
      </c>
    </row>
    <row r="43" spans="1:3" x14ac:dyDescent="0.3">
      <c r="A43" s="1">
        <v>43500</v>
      </c>
      <c r="B43" s="2">
        <v>102.966812</v>
      </c>
      <c r="C43">
        <v>1.0082325455303289E-2</v>
      </c>
    </row>
    <row r="44" spans="1:3" x14ac:dyDescent="0.3">
      <c r="A44" s="1">
        <v>43501</v>
      </c>
      <c r="B44" s="2">
        <v>104.01020800000001</v>
      </c>
      <c r="C44">
        <v>1.0716954410981623E-2</v>
      </c>
    </row>
    <row r="45" spans="1:3" x14ac:dyDescent="0.3">
      <c r="A45" s="1">
        <v>43502</v>
      </c>
      <c r="B45" s="2">
        <v>105.130875</v>
      </c>
      <c r="C45">
        <v>-8.1196241263629329E-3</v>
      </c>
    </row>
    <row r="46" spans="1:3" x14ac:dyDescent="0.3">
      <c r="A46" s="1">
        <v>43503</v>
      </c>
      <c r="B46" s="2">
        <v>104.280708</v>
      </c>
      <c r="C46">
        <v>1.4811709418177986E-3</v>
      </c>
    </row>
    <row r="47" spans="1:3" x14ac:dyDescent="0.3">
      <c r="A47" s="1">
        <v>43504</v>
      </c>
      <c r="B47" s="2">
        <v>104.43528000000001</v>
      </c>
      <c r="C47">
        <v>7.6487684363075953E-3</v>
      </c>
    </row>
    <row r="48" spans="1:3" x14ac:dyDescent="0.3">
      <c r="A48" s="1">
        <v>43507</v>
      </c>
      <c r="B48" s="2">
        <v>105.237144</v>
      </c>
      <c r="C48">
        <v>1.575708543088792E-2</v>
      </c>
    </row>
    <row r="49" spans="1:3" x14ac:dyDescent="0.3">
      <c r="A49" s="1">
        <v>43508</v>
      </c>
      <c r="B49" s="2">
        <v>106.908508</v>
      </c>
      <c r="C49">
        <v>1.2125682651315783E-2</v>
      </c>
    </row>
    <row r="50" spans="1:3" x14ac:dyDescent="0.3">
      <c r="A50" s="1">
        <v>43509</v>
      </c>
      <c r="B50" s="2">
        <v>108.212738</v>
      </c>
      <c r="C50">
        <v>-1.8765203703690891E-3</v>
      </c>
    </row>
    <row r="51" spans="1:3" x14ac:dyDescent="0.3">
      <c r="A51" s="1">
        <v>43510</v>
      </c>
      <c r="B51" s="2">
        <v>108.009865</v>
      </c>
      <c r="C51">
        <v>-8.3532538760306748E-3</v>
      </c>
    </row>
    <row r="52" spans="1:3" x14ac:dyDescent="0.3">
      <c r="A52" s="1">
        <v>43511</v>
      </c>
      <c r="B52" s="2">
        <v>107.111389</v>
      </c>
      <c r="C52">
        <v>-9.0251476203389615E-4</v>
      </c>
    </row>
    <row r="53" spans="1:3" x14ac:dyDescent="0.3">
      <c r="A53" s="1">
        <v>43515</v>
      </c>
      <c r="B53" s="2">
        <v>107.014763</v>
      </c>
      <c r="C53">
        <v>2.7046104359513454E-3</v>
      </c>
    </row>
    <row r="54" spans="1:3" x14ac:dyDescent="0.3">
      <c r="A54" s="1">
        <v>43516</v>
      </c>
      <c r="B54" s="2">
        <v>107.304588</v>
      </c>
      <c r="C54">
        <v>6.1931823845579595E-3</v>
      </c>
    </row>
    <row r="55" spans="1:3" x14ac:dyDescent="0.3">
      <c r="A55" s="1">
        <v>43517</v>
      </c>
      <c r="B55" s="2">
        <v>107.97120700000001</v>
      </c>
      <c r="C55">
        <v>-1.2605971376871814E-2</v>
      </c>
    </row>
    <row r="56" spans="1:3" x14ac:dyDescent="0.3">
      <c r="A56" s="1">
        <v>43518</v>
      </c>
      <c r="B56" s="2">
        <v>106.618668</v>
      </c>
      <c r="C56">
        <v>1.3257257008918751E-2</v>
      </c>
    </row>
    <row r="57" spans="1:3" x14ac:dyDescent="0.3">
      <c r="A57" s="1">
        <v>43521</v>
      </c>
      <c r="B57" s="2">
        <v>108.04155</v>
      </c>
      <c r="C57">
        <v>1.622410348214233E-3</v>
      </c>
    </row>
    <row r="58" spans="1:3" x14ac:dyDescent="0.3">
      <c r="A58" s="1">
        <v>43522</v>
      </c>
      <c r="B58" s="2">
        <v>108.21698000000001</v>
      </c>
      <c r="C58">
        <v>8.1015452732669717E-4</v>
      </c>
    </row>
    <row r="59" spans="1:3" x14ac:dyDescent="0.3">
      <c r="A59" s="1">
        <v>43523</v>
      </c>
      <c r="B59" s="2">
        <v>108.304688</v>
      </c>
      <c r="C59">
        <v>-8.4037983185915061E-3</v>
      </c>
    </row>
    <row r="60" spans="1:3" x14ac:dyDescent="0.3">
      <c r="A60" s="1">
        <v>43524</v>
      </c>
      <c r="B60" s="2">
        <v>107.398331</v>
      </c>
      <c r="C60">
        <v>1.7361973136011989E-2</v>
      </c>
    </row>
    <row r="61" spans="1:3" x14ac:dyDescent="0.3">
      <c r="A61" s="1">
        <v>43525</v>
      </c>
      <c r="B61" s="2">
        <v>109.279259</v>
      </c>
      <c r="C61">
        <v>-1.482429965833916E-2</v>
      </c>
    </row>
    <row r="62" spans="1:3" x14ac:dyDescent="0.3">
      <c r="A62" s="1">
        <v>43528</v>
      </c>
      <c r="B62" s="2">
        <v>107.67121899999999</v>
      </c>
      <c r="C62">
        <v>-4.6268886634592546E-3</v>
      </c>
    </row>
    <row r="63" spans="1:3" x14ac:dyDescent="0.3">
      <c r="A63" s="1">
        <v>43529</v>
      </c>
      <c r="B63" s="2">
        <v>107.174187</v>
      </c>
      <c r="C63">
        <v>-1.0236853472869917E-2</v>
      </c>
    </row>
    <row r="64" spans="1:3" x14ac:dyDescent="0.3">
      <c r="A64" s="1">
        <v>43530</v>
      </c>
      <c r="B64" s="2">
        <v>106.082657</v>
      </c>
      <c r="C64">
        <v>-1.8451294838348824E-2</v>
      </c>
    </row>
    <row r="65" spans="1:3" x14ac:dyDescent="0.3">
      <c r="A65" s="1">
        <v>43531</v>
      </c>
      <c r="B65" s="2">
        <v>104.143242</v>
      </c>
      <c r="C65">
        <v>-1.6857829079925304E-3</v>
      </c>
    </row>
    <row r="66" spans="1:3" x14ac:dyDescent="0.3">
      <c r="A66" s="1">
        <v>43532</v>
      </c>
      <c r="B66" s="2">
        <v>103.967827</v>
      </c>
      <c r="C66">
        <v>1.995330792270807E-2</v>
      </c>
    </row>
    <row r="67" spans="1:3" x14ac:dyDescent="0.3">
      <c r="A67" s="1">
        <v>43535</v>
      </c>
      <c r="B67" s="2">
        <v>106.063164</v>
      </c>
      <c r="C67">
        <v>1.6525727171167041E-3</v>
      </c>
    </row>
    <row r="68" spans="1:3" x14ac:dyDescent="0.3">
      <c r="A68" s="1">
        <v>43536</v>
      </c>
      <c r="B68" s="2">
        <v>106.238586</v>
      </c>
      <c r="C68">
        <v>1.6828499208223525E-2</v>
      </c>
    </row>
    <row r="69" spans="1:3" x14ac:dyDescent="0.3">
      <c r="A69" s="1">
        <v>43537</v>
      </c>
      <c r="B69" s="2">
        <v>108.04155</v>
      </c>
      <c r="C69">
        <v>1.8040505467576594E-4</v>
      </c>
    </row>
    <row r="70" spans="1:3" x14ac:dyDescent="0.3">
      <c r="A70" s="1">
        <v>43538</v>
      </c>
      <c r="B70" s="2">
        <v>108.061043</v>
      </c>
      <c r="C70">
        <v>-1.2341354008499712E-2</v>
      </c>
    </row>
    <row r="71" spans="1:3" x14ac:dyDescent="0.3">
      <c r="A71" s="1">
        <v>43539</v>
      </c>
      <c r="B71" s="2">
        <v>106.735619</v>
      </c>
      <c r="C71">
        <v>1.0626352744383888E-2</v>
      </c>
    </row>
    <row r="72" spans="1:3" x14ac:dyDescent="0.3">
      <c r="A72" s="1">
        <v>43542</v>
      </c>
      <c r="B72" s="2">
        <v>107.875877</v>
      </c>
      <c r="C72">
        <v>-3.0763963768396848E-3</v>
      </c>
    </row>
    <row r="73" spans="1:3" x14ac:dyDescent="0.3">
      <c r="A73" s="1">
        <v>43543</v>
      </c>
      <c r="B73" s="2">
        <v>107.544518</v>
      </c>
      <c r="C73">
        <v>-2.2266969084318952E-2</v>
      </c>
    </row>
    <row r="74" spans="1:3" x14ac:dyDescent="0.3">
      <c r="A74" s="1">
        <v>43544</v>
      </c>
      <c r="B74" s="2">
        <v>105.176292</v>
      </c>
      <c r="C74">
        <v>1.7270422285249672E-2</v>
      </c>
    </row>
    <row r="75" spans="1:3" x14ac:dyDescent="0.3">
      <c r="A75" s="1">
        <v>43545</v>
      </c>
      <c r="B75" s="2">
        <v>107.00850699999999</v>
      </c>
      <c r="C75">
        <v>-2.2566056481398877E-2</v>
      </c>
    </row>
    <row r="76" spans="1:3" x14ac:dyDescent="0.3">
      <c r="A76" s="1">
        <v>43546</v>
      </c>
      <c r="B76" s="2">
        <v>104.620789</v>
      </c>
      <c r="C76">
        <v>-4.2006445535987917E-3</v>
      </c>
    </row>
    <row r="77" spans="1:3" x14ac:dyDescent="0.3">
      <c r="A77" s="1">
        <v>43549</v>
      </c>
      <c r="B77" s="2">
        <v>104.182236</v>
      </c>
      <c r="C77">
        <v>1.4026445424083524E-2</v>
      </c>
    </row>
    <row r="78" spans="1:3" x14ac:dyDescent="0.3">
      <c r="A78" s="1">
        <v>43550</v>
      </c>
      <c r="B78" s="2">
        <v>105.653839</v>
      </c>
      <c r="C78">
        <v>5.2440754154875124E-3</v>
      </c>
    </row>
    <row r="79" spans="1:3" x14ac:dyDescent="0.3">
      <c r="A79" s="1">
        <v>43551</v>
      </c>
      <c r="B79" s="2">
        <v>106.209351</v>
      </c>
      <c r="C79">
        <v>1.2039518928399995E-2</v>
      </c>
    </row>
    <row r="80" spans="1:3" x14ac:dyDescent="0.3">
      <c r="A80" s="1">
        <v>43552</v>
      </c>
      <c r="B80" s="2">
        <v>107.495789</v>
      </c>
      <c r="C80">
        <v>1.2970806993612798E-2</v>
      </c>
    </row>
    <row r="81" spans="1:3" x14ac:dyDescent="0.3">
      <c r="A81" s="1">
        <v>43553</v>
      </c>
      <c r="B81" s="2">
        <v>108.89917800000001</v>
      </c>
      <c r="C81">
        <v>2.3788549217195636E-2</v>
      </c>
    </row>
    <row r="82" spans="1:3" x14ac:dyDescent="0.3">
      <c r="A82" s="1">
        <v>43556</v>
      </c>
      <c r="B82" s="2">
        <v>111.52079000000001</v>
      </c>
      <c r="C82">
        <v>-6.5758131428151779E-3</v>
      </c>
    </row>
    <row r="83" spans="1:3" x14ac:dyDescent="0.3">
      <c r="A83" s="1">
        <v>43557</v>
      </c>
      <c r="B83" s="2">
        <v>110.789856</v>
      </c>
      <c r="C83">
        <v>5.8764613389105016E-3</v>
      </c>
    </row>
    <row r="84" spans="1:3" x14ac:dyDescent="0.3">
      <c r="A84" s="1">
        <v>43558</v>
      </c>
      <c r="B84" s="2">
        <v>111.442825</v>
      </c>
      <c r="C84">
        <v>-3.3286549012287274E-3</v>
      </c>
    </row>
    <row r="85" spans="1:3" x14ac:dyDescent="0.3">
      <c r="A85" s="1">
        <v>43559</v>
      </c>
      <c r="B85" s="2">
        <v>111.072487</v>
      </c>
      <c r="C85">
        <v>3.1537247968817222E-3</v>
      </c>
    </row>
    <row r="86" spans="1:3" x14ac:dyDescent="0.3">
      <c r="A86" s="1">
        <v>43560</v>
      </c>
      <c r="B86" s="2">
        <v>111.423332</v>
      </c>
      <c r="C86">
        <v>-3.1537247968817009E-3</v>
      </c>
    </row>
    <row r="87" spans="1:3" x14ac:dyDescent="0.3">
      <c r="A87" s="1">
        <v>43563</v>
      </c>
      <c r="B87" s="2">
        <v>111.072487</v>
      </c>
      <c r="C87">
        <v>-9.3442135788263329E-3</v>
      </c>
    </row>
    <row r="88" spans="1:3" x14ac:dyDescent="0.3">
      <c r="A88" s="1">
        <v>43564</v>
      </c>
      <c r="B88" s="2">
        <v>110.03943599999999</v>
      </c>
      <c r="C88">
        <v>1.5045096893209445E-3</v>
      </c>
    </row>
    <row r="89" spans="1:3" x14ac:dyDescent="0.3">
      <c r="A89" s="1">
        <v>43565</v>
      </c>
      <c r="B89" s="2">
        <v>110.205116</v>
      </c>
      <c r="C89">
        <v>3.6191819700466723E-3</v>
      </c>
    </row>
    <row r="90" spans="1:3" x14ac:dyDescent="0.3">
      <c r="A90" s="1">
        <v>43566</v>
      </c>
      <c r="B90" s="2">
        <v>110.604691</v>
      </c>
      <c r="C90">
        <v>8.5106516641867865E-3</v>
      </c>
    </row>
    <row r="91" spans="1:3" x14ac:dyDescent="0.3">
      <c r="A91" s="1">
        <v>43567</v>
      </c>
      <c r="B91" s="2">
        <v>111.550026</v>
      </c>
      <c r="C91">
        <v>-7.1898895329863986E-3</v>
      </c>
    </row>
    <row r="92" spans="1:3" x14ac:dyDescent="0.3">
      <c r="A92" s="1">
        <v>43570</v>
      </c>
      <c r="B92" s="2">
        <v>110.75087000000001</v>
      </c>
      <c r="C92">
        <v>2.6365096427972711E-3</v>
      </c>
    </row>
    <row r="93" spans="1:3" x14ac:dyDescent="0.3">
      <c r="A93" s="1">
        <v>43571</v>
      </c>
      <c r="B93" s="2">
        <v>111.043251</v>
      </c>
      <c r="C93">
        <v>4.8154969749710837E-3</v>
      </c>
    </row>
    <row r="94" spans="1:3" x14ac:dyDescent="0.3">
      <c r="A94" s="1">
        <v>43572</v>
      </c>
      <c r="B94" s="2">
        <v>111.579269</v>
      </c>
      <c r="C94">
        <v>-2.9741366896060368E-3</v>
      </c>
    </row>
    <row r="95" spans="1:3" x14ac:dyDescent="0.3">
      <c r="A95" s="1">
        <v>43573</v>
      </c>
      <c r="B95" s="2">
        <v>111.24791</v>
      </c>
      <c r="C95">
        <v>-4.653893066037868E-3</v>
      </c>
    </row>
    <row r="96" spans="1:3" x14ac:dyDescent="0.3">
      <c r="A96" s="1">
        <v>43577</v>
      </c>
      <c r="B96" s="2">
        <v>110.73137699999999</v>
      </c>
      <c r="C96">
        <v>-1.7599090029956065E-4</v>
      </c>
    </row>
    <row r="97" spans="1:3" x14ac:dyDescent="0.3">
      <c r="A97" s="1">
        <v>43578</v>
      </c>
      <c r="B97" s="2">
        <v>110.71189099999999</v>
      </c>
      <c r="C97">
        <v>7.2797805315668101E-3</v>
      </c>
    </row>
    <row r="98" spans="1:3" x14ac:dyDescent="0.3">
      <c r="A98" s="1">
        <v>43579</v>
      </c>
      <c r="B98" s="2">
        <v>111.52079000000001</v>
      </c>
      <c r="C98">
        <v>-8.4765587713115265E-2</v>
      </c>
    </row>
    <row r="99" spans="1:3" x14ac:dyDescent="0.3">
      <c r="A99" s="1">
        <v>43580</v>
      </c>
      <c r="B99" s="2">
        <v>102.45723</v>
      </c>
      <c r="C99">
        <v>-1.1287682077407355E-2</v>
      </c>
    </row>
    <row r="100" spans="1:3" x14ac:dyDescent="0.3">
      <c r="A100" s="1">
        <v>43581</v>
      </c>
      <c r="B100" s="2">
        <v>101.30722799999999</v>
      </c>
      <c r="C100">
        <v>8.5253436758064224E-3</v>
      </c>
    </row>
    <row r="101" spans="1:3" x14ac:dyDescent="0.3">
      <c r="A101" s="1">
        <v>43584</v>
      </c>
      <c r="B101" s="2">
        <v>102.174599</v>
      </c>
      <c r="C101">
        <v>1.307705051308199E-2</v>
      </c>
    </row>
    <row r="102" spans="1:3" x14ac:dyDescent="0.3">
      <c r="A102" s="1">
        <v>43585</v>
      </c>
      <c r="B102" s="2">
        <v>103.519516</v>
      </c>
      <c r="C102">
        <v>-1.517756521833929E-2</v>
      </c>
    </row>
    <row r="103" spans="1:3" x14ac:dyDescent="0.3">
      <c r="A103" s="1">
        <v>43586</v>
      </c>
      <c r="B103" s="2">
        <v>101.960205</v>
      </c>
      <c r="C103">
        <v>8.470898177537111E-3</v>
      </c>
    </row>
    <row r="104" spans="1:3" x14ac:dyDescent="0.3">
      <c r="A104" s="1">
        <v>43587</v>
      </c>
      <c r="B104" s="2">
        <v>102.827568</v>
      </c>
      <c r="C104">
        <v>1.0746688346433086E-2</v>
      </c>
    </row>
    <row r="105" spans="1:3" x14ac:dyDescent="0.3">
      <c r="A105" s="1">
        <v>43588</v>
      </c>
      <c r="B105" s="2">
        <v>103.93858299999999</v>
      </c>
      <c r="C105">
        <v>-1.9217586523970241E-2</v>
      </c>
    </row>
    <row r="106" spans="1:3" x14ac:dyDescent="0.3">
      <c r="A106" s="1">
        <v>43591</v>
      </c>
      <c r="B106" s="2">
        <v>101.960205</v>
      </c>
      <c r="C106">
        <v>-2.4480083132154908E-2</v>
      </c>
    </row>
    <row r="107" spans="1:3" x14ac:dyDescent="0.3">
      <c r="A107" s="1">
        <v>43592</v>
      </c>
      <c r="B107" s="2">
        <v>99.494513999999995</v>
      </c>
      <c r="C107">
        <v>-2.3536712002107194E-3</v>
      </c>
    </row>
    <row r="108" spans="1:3" x14ac:dyDescent="0.3">
      <c r="A108" s="1">
        <v>43593</v>
      </c>
      <c r="B108" s="2">
        <v>99.260611999999995</v>
      </c>
      <c r="C108">
        <v>-1.0858889893655983E-2</v>
      </c>
    </row>
    <row r="109" spans="1:3" x14ac:dyDescent="0.3">
      <c r="A109" s="1">
        <v>43594</v>
      </c>
      <c r="B109" s="2">
        <v>98.188582999999994</v>
      </c>
      <c r="C109">
        <v>-1.1917954318237133E-3</v>
      </c>
    </row>
    <row r="110" spans="1:3" x14ac:dyDescent="0.3">
      <c r="A110" s="1">
        <v>43595</v>
      </c>
      <c r="B110" s="2">
        <v>98.071631999999994</v>
      </c>
      <c r="C110">
        <v>-1.2801466258643269E-2</v>
      </c>
    </row>
    <row r="111" spans="1:3" x14ac:dyDescent="0.3">
      <c r="A111" s="1">
        <v>43598</v>
      </c>
      <c r="B111" s="2">
        <v>96.824173000000002</v>
      </c>
      <c r="C111">
        <v>4.1184727140228267E-3</v>
      </c>
    </row>
    <row r="112" spans="1:3" x14ac:dyDescent="0.3">
      <c r="A112" s="1">
        <v>43599</v>
      </c>
      <c r="B112" s="2">
        <v>97.223763000000005</v>
      </c>
      <c r="C112">
        <v>1.7685453855070827E-2</v>
      </c>
    </row>
    <row r="113" spans="1:3" x14ac:dyDescent="0.3">
      <c r="A113" s="1">
        <v>43600</v>
      </c>
      <c r="B113" s="2">
        <v>98.958504000000005</v>
      </c>
      <c r="C113">
        <v>-2.2676802853828283E-3</v>
      </c>
    </row>
    <row r="114" spans="1:3" x14ac:dyDescent="0.3">
      <c r="A114" s="1">
        <v>43601</v>
      </c>
      <c r="B114" s="2">
        <v>98.734352000000001</v>
      </c>
      <c r="C114">
        <v>-9.5119935131580124E-3</v>
      </c>
    </row>
    <row r="115" spans="1:3" x14ac:dyDescent="0.3">
      <c r="A115" s="1">
        <v>43602</v>
      </c>
      <c r="B115" s="2">
        <v>97.799644000000001</v>
      </c>
      <c r="C115">
        <v>-8.8925934530863799E-3</v>
      </c>
    </row>
    <row r="116" spans="1:3" x14ac:dyDescent="0.3">
      <c r="A116" s="1">
        <v>43605</v>
      </c>
      <c r="B116" s="2">
        <v>96.933807000000002</v>
      </c>
      <c r="C116">
        <v>8.9932227029409298E-3</v>
      </c>
    </row>
    <row r="117" spans="1:3" x14ac:dyDescent="0.3">
      <c r="A117" s="1">
        <v>43606</v>
      </c>
      <c r="B117" s="2">
        <v>97.809486000000007</v>
      </c>
      <c r="C117">
        <v>-1.9400336823953434E-2</v>
      </c>
    </row>
    <row r="118" spans="1:3" x14ac:dyDescent="0.3">
      <c r="A118" s="1">
        <v>43607</v>
      </c>
      <c r="B118" s="2">
        <v>95.930237000000005</v>
      </c>
      <c r="C118">
        <v>-1.3734910585136014E-2</v>
      </c>
    </row>
    <row r="119" spans="1:3" x14ac:dyDescent="0.3">
      <c r="A119" s="1">
        <v>43608</v>
      </c>
      <c r="B119" s="2">
        <v>94.621651</v>
      </c>
      <c r="C119">
        <v>-3.333095693029268E-3</v>
      </c>
    </row>
    <row r="120" spans="1:3" x14ac:dyDescent="0.3">
      <c r="A120" s="1">
        <v>43609</v>
      </c>
      <c r="B120" s="2">
        <v>94.306792999999999</v>
      </c>
      <c r="C120">
        <v>-1.8745212291623719E-2</v>
      </c>
    </row>
    <row r="121" spans="1:3" x14ac:dyDescent="0.3">
      <c r="A121" s="1">
        <v>43613</v>
      </c>
      <c r="B121" s="2">
        <v>92.555458000000002</v>
      </c>
      <c r="C121">
        <v>7.4136221745388512E-3</v>
      </c>
    </row>
    <row r="122" spans="1:3" x14ac:dyDescent="0.3">
      <c r="A122" s="1">
        <v>43614</v>
      </c>
      <c r="B122" s="2">
        <v>93.244179000000003</v>
      </c>
      <c r="C122">
        <v>1.0287843975425743E-2</v>
      </c>
    </row>
    <row r="123" spans="1:3" x14ac:dyDescent="0.3">
      <c r="A123" s="1">
        <v>43615</v>
      </c>
      <c r="B123" s="2">
        <v>94.208411999999996</v>
      </c>
      <c r="C123">
        <v>-3.0001833741776226E-2</v>
      </c>
    </row>
    <row r="124" spans="1:3" x14ac:dyDescent="0.3">
      <c r="A124" s="1">
        <v>43616</v>
      </c>
      <c r="B124" s="2">
        <v>91.423964999999995</v>
      </c>
      <c r="C124">
        <v>1.2937933283150405E-2</v>
      </c>
    </row>
    <row r="125" spans="1:3" x14ac:dyDescent="0.3">
      <c r="A125" s="1">
        <v>43619</v>
      </c>
      <c r="B125" s="2">
        <v>92.614486999999997</v>
      </c>
      <c r="C125">
        <v>3.6815344137345794E-2</v>
      </c>
    </row>
    <row r="126" spans="1:3" x14ac:dyDescent="0.3">
      <c r="A126" s="1">
        <v>43620</v>
      </c>
      <c r="B126" s="2">
        <v>96.087661999999995</v>
      </c>
      <c r="C126">
        <v>5.615902444511372E-3</v>
      </c>
    </row>
    <row r="127" spans="1:3" x14ac:dyDescent="0.3">
      <c r="A127" s="1">
        <v>43621</v>
      </c>
      <c r="B127" s="2">
        <v>96.628799000000001</v>
      </c>
      <c r="C127">
        <v>-2.1404819741756664E-3</v>
      </c>
    </row>
    <row r="128" spans="1:3" x14ac:dyDescent="0.3">
      <c r="A128" s="1">
        <v>43622</v>
      </c>
      <c r="B128" s="2">
        <v>96.422188000000006</v>
      </c>
      <c r="C128">
        <v>2.3442513882454066E-3</v>
      </c>
    </row>
    <row r="129" spans="1:3" x14ac:dyDescent="0.3">
      <c r="A129" s="1">
        <v>43623</v>
      </c>
      <c r="B129" s="2">
        <v>96.648491000000007</v>
      </c>
      <c r="C129">
        <v>1.8757972534855536E-2</v>
      </c>
    </row>
    <row r="130" spans="1:3" x14ac:dyDescent="0.3">
      <c r="A130" s="1">
        <v>43626</v>
      </c>
      <c r="B130" s="2">
        <v>98.478531000000004</v>
      </c>
      <c r="C130">
        <v>-7.9961056757895342E-4</v>
      </c>
    </row>
    <row r="131" spans="1:3" x14ac:dyDescent="0.3">
      <c r="A131" s="1">
        <v>43627</v>
      </c>
      <c r="B131" s="2">
        <v>98.399817999999996</v>
      </c>
      <c r="C131">
        <v>3.8920979602129545E-3</v>
      </c>
    </row>
    <row r="132" spans="1:3" x14ac:dyDescent="0.3">
      <c r="A132" s="1">
        <v>43628</v>
      </c>
      <c r="B132" s="2">
        <v>98.783546000000001</v>
      </c>
      <c r="C132">
        <v>1.600659775084989E-2</v>
      </c>
    </row>
    <row r="133" spans="1:3" x14ac:dyDescent="0.3">
      <c r="A133" s="1">
        <v>43629</v>
      </c>
      <c r="B133" s="2">
        <v>100.37745700000001</v>
      </c>
      <c r="C133">
        <v>-3.9284571446437889E-3</v>
      </c>
    </row>
    <row r="134" spans="1:3" x14ac:dyDescent="0.3">
      <c r="A134" s="1">
        <v>43630</v>
      </c>
      <c r="B134" s="2">
        <v>99.983902</v>
      </c>
      <c r="C134">
        <v>-2.1672352624605082E-3</v>
      </c>
    </row>
    <row r="135" spans="1:3" x14ac:dyDescent="0.3">
      <c r="A135" s="1">
        <v>43633</v>
      </c>
      <c r="B135" s="2">
        <v>99.767448000000002</v>
      </c>
      <c r="C135">
        <v>7.3691314924861778E-3</v>
      </c>
    </row>
    <row r="136" spans="1:3" x14ac:dyDescent="0.3">
      <c r="A136" s="1">
        <v>43634</v>
      </c>
      <c r="B136" s="2">
        <v>100.505363</v>
      </c>
      <c r="C136">
        <v>-5.7925256687123283E-3</v>
      </c>
    </row>
    <row r="137" spans="1:3" x14ac:dyDescent="0.3">
      <c r="A137" s="1">
        <v>43635</v>
      </c>
      <c r="B137" s="2">
        <v>99.924865999999994</v>
      </c>
      <c r="C137">
        <v>1.7955237931660432E-2</v>
      </c>
    </row>
    <row r="138" spans="1:3" x14ac:dyDescent="0.3">
      <c r="A138" s="1">
        <v>43636</v>
      </c>
      <c r="B138" s="2">
        <v>101.73524500000001</v>
      </c>
      <c r="C138">
        <v>-1.1966881193779012E-2</v>
      </c>
    </row>
    <row r="139" spans="1:3" x14ac:dyDescent="0.3">
      <c r="A139" s="1">
        <v>43637</v>
      </c>
      <c r="B139" s="2">
        <v>100.525047</v>
      </c>
      <c r="C139">
        <v>-2.4271817474101912E-2</v>
      </c>
    </row>
    <row r="140" spans="1:3" x14ac:dyDescent="0.3">
      <c r="A140" s="1">
        <v>43640</v>
      </c>
      <c r="B140" s="2">
        <v>98.114493999999993</v>
      </c>
      <c r="C140">
        <v>-2.6316058757615085E-2</v>
      </c>
    </row>
    <row r="141" spans="1:3" x14ac:dyDescent="0.3">
      <c r="A141" s="1">
        <v>43641</v>
      </c>
      <c r="B141" s="2">
        <v>95.566185000000004</v>
      </c>
      <c r="C141">
        <v>2.881991093812214E-2</v>
      </c>
    </row>
    <row r="142" spans="1:3" x14ac:dyDescent="0.3">
      <c r="A142" s="1">
        <v>43642</v>
      </c>
      <c r="B142" s="2">
        <v>98.360466000000002</v>
      </c>
      <c r="C142">
        <v>1.7157175009209227E-2</v>
      </c>
    </row>
    <row r="143" spans="1:3" x14ac:dyDescent="0.3">
      <c r="A143" s="1">
        <v>43643</v>
      </c>
      <c r="B143" s="2">
        <v>100.062614</v>
      </c>
      <c r="C143">
        <v>1.5319626901543693E-2</v>
      </c>
    </row>
    <row r="144" spans="1:3" x14ac:dyDescent="0.3">
      <c r="A144" s="1">
        <v>43644</v>
      </c>
      <c r="B144" s="2">
        <v>101.607338</v>
      </c>
      <c r="C144">
        <v>-2.9091949628304165E-3</v>
      </c>
    </row>
    <row r="145" spans="1:3" x14ac:dyDescent="0.3">
      <c r="A145" s="1">
        <v>43647</v>
      </c>
      <c r="B145" s="2">
        <v>101.312172</v>
      </c>
      <c r="C145">
        <v>-9.4649610960601642E-3</v>
      </c>
    </row>
    <row r="146" spans="1:3" x14ac:dyDescent="0.3">
      <c r="A146" s="1">
        <v>43648</v>
      </c>
      <c r="B146" s="2">
        <v>100.35778000000001</v>
      </c>
      <c r="C146">
        <v>1.1696042080481767E-2</v>
      </c>
    </row>
    <row r="147" spans="1:3" x14ac:dyDescent="0.3">
      <c r="A147" s="1">
        <v>43649</v>
      </c>
      <c r="B147" s="2">
        <v>101.53846</v>
      </c>
      <c r="C147">
        <v>-7.5867592017311207E-3</v>
      </c>
    </row>
    <row r="148" spans="1:3" x14ac:dyDescent="0.3">
      <c r="A148" s="1">
        <v>43651</v>
      </c>
      <c r="B148" s="2">
        <v>100.771027</v>
      </c>
      <c r="C148">
        <v>-4.8938247182310803E-3</v>
      </c>
    </row>
    <row r="149" spans="1:3" x14ac:dyDescent="0.3">
      <c r="A149" s="1">
        <v>43654</v>
      </c>
      <c r="B149" s="2">
        <v>100.279076</v>
      </c>
      <c r="C149">
        <v>-1.8659672232853323E-3</v>
      </c>
    </row>
    <row r="150" spans="1:3" x14ac:dyDescent="0.3">
      <c r="A150" s="1">
        <v>43655</v>
      </c>
      <c r="B150" s="2">
        <v>100.092133</v>
      </c>
      <c r="C150">
        <v>-1.081898794696485E-3</v>
      </c>
    </row>
    <row r="151" spans="1:3" x14ac:dyDescent="0.3">
      <c r="A151" s="1">
        <v>43656</v>
      </c>
      <c r="B151" s="2">
        <v>99.983902</v>
      </c>
      <c r="C151">
        <v>1.6687416217213633E-2</v>
      </c>
    </row>
    <row r="152" spans="1:3" x14ac:dyDescent="0.3">
      <c r="A152" s="1">
        <v>43657</v>
      </c>
      <c r="B152" s="2">
        <v>101.666374</v>
      </c>
      <c r="C152">
        <v>2.4661910551280197E-2</v>
      </c>
    </row>
    <row r="153" spans="1:3" x14ac:dyDescent="0.3">
      <c r="A153" s="1">
        <v>43658</v>
      </c>
      <c r="B153" s="2">
        <v>104.20483400000001</v>
      </c>
      <c r="C153">
        <v>-1.1337280570250393E-3</v>
      </c>
    </row>
    <row r="154" spans="1:3" x14ac:dyDescent="0.3">
      <c r="A154" s="1">
        <v>43661</v>
      </c>
      <c r="B154" s="2">
        <v>104.086761</v>
      </c>
      <c r="C154">
        <v>-1.7028469540971063E-3</v>
      </c>
    </row>
    <row r="155" spans="1:3" x14ac:dyDescent="0.3">
      <c r="A155" s="1">
        <v>43662</v>
      </c>
      <c r="B155" s="2">
        <v>103.909668</v>
      </c>
      <c r="C155">
        <v>-3.2527910373378273E-2</v>
      </c>
    </row>
    <row r="156" spans="1:3" x14ac:dyDescent="0.3">
      <c r="A156" s="1">
        <v>43663</v>
      </c>
      <c r="B156" s="2">
        <v>100.584084</v>
      </c>
      <c r="C156">
        <v>5.5601571951625108E-3</v>
      </c>
    </row>
    <row r="157" spans="1:3" x14ac:dyDescent="0.3">
      <c r="A157" s="1">
        <v>43664</v>
      </c>
      <c r="B157" s="2">
        <v>101.14490499999999</v>
      </c>
      <c r="C157">
        <v>4.9487852204034453E-3</v>
      </c>
    </row>
    <row r="158" spans="1:3" x14ac:dyDescent="0.3">
      <c r="A158" s="1">
        <v>43665</v>
      </c>
      <c r="B158" s="2">
        <v>101.64669000000001</v>
      </c>
      <c r="C158">
        <v>6.7529313924199336E-3</v>
      </c>
    </row>
    <row r="159" spans="1:3" x14ac:dyDescent="0.3">
      <c r="A159" s="1">
        <v>43668</v>
      </c>
      <c r="B159" s="2">
        <v>102.335426</v>
      </c>
      <c r="C159">
        <v>1.2041305905929084E-2</v>
      </c>
    </row>
    <row r="160" spans="1:3" x14ac:dyDescent="0.3">
      <c r="A160" s="1">
        <v>43669</v>
      </c>
      <c r="B160" s="2">
        <v>103.57512699999999</v>
      </c>
      <c r="C160">
        <v>8.3085266483443082E-2</v>
      </c>
    </row>
    <row r="161" spans="1:3" x14ac:dyDescent="0.3">
      <c r="A161" s="1">
        <v>43670</v>
      </c>
      <c r="B161" s="2">
        <v>112.54830200000001</v>
      </c>
      <c r="C161">
        <v>3.3187344559960877E-2</v>
      </c>
    </row>
    <row r="162" spans="1:3" x14ac:dyDescent="0.3">
      <c r="A162" s="1">
        <v>43671</v>
      </c>
      <c r="B162" s="2">
        <v>116.346153</v>
      </c>
      <c r="C162">
        <v>1.9512485203682529E-2</v>
      </c>
    </row>
    <row r="163" spans="1:3" x14ac:dyDescent="0.3">
      <c r="A163" s="1">
        <v>43672</v>
      </c>
      <c r="B163" s="2">
        <v>118.638649</v>
      </c>
      <c r="C163">
        <v>-1.5293060305950332E-2</v>
      </c>
    </row>
    <row r="164" spans="1:3" x14ac:dyDescent="0.3">
      <c r="A164" s="1">
        <v>43675</v>
      </c>
      <c r="B164" s="2">
        <v>116.838104</v>
      </c>
      <c r="C164">
        <v>8.8866878778557524E-3</v>
      </c>
    </row>
    <row r="165" spans="1:3" x14ac:dyDescent="0.3">
      <c r="A165" s="1">
        <v>43676</v>
      </c>
      <c r="B165" s="2">
        <v>117.881035</v>
      </c>
      <c r="C165">
        <v>-2.8418018511922995E-3</v>
      </c>
    </row>
    <row r="166" spans="1:3" x14ac:dyDescent="0.3">
      <c r="A166" s="1">
        <v>43677</v>
      </c>
      <c r="B166" s="2">
        <v>117.546516</v>
      </c>
      <c r="C166">
        <v>-2.1062334269372974E-2</v>
      </c>
    </row>
    <row r="167" spans="1:3" x14ac:dyDescent="0.3">
      <c r="A167" s="1">
        <v>43678</v>
      </c>
      <c r="B167" s="2">
        <v>115.096603</v>
      </c>
      <c r="C167">
        <v>1.8788627497284801E-3</v>
      </c>
    </row>
    <row r="168" spans="1:3" x14ac:dyDescent="0.3">
      <c r="A168" s="1">
        <v>43679</v>
      </c>
      <c r="B168" s="2">
        <v>115.313057</v>
      </c>
      <c r="C168">
        <v>-2.0254943239501631E-2</v>
      </c>
    </row>
    <row r="169" spans="1:3" x14ac:dyDescent="0.3">
      <c r="A169" s="1">
        <v>43682</v>
      </c>
      <c r="B169" s="2">
        <v>113.000893</v>
      </c>
      <c r="C169">
        <v>1.3051818061948588E-3</v>
      </c>
    </row>
    <row r="170" spans="1:3" x14ac:dyDescent="0.3">
      <c r="A170" s="1">
        <v>43683</v>
      </c>
      <c r="B170" s="2">
        <v>113.148476</v>
      </c>
      <c r="C170">
        <v>3.5589218553349735E-3</v>
      </c>
    </row>
    <row r="171" spans="1:3" x14ac:dyDescent="0.3">
      <c r="A171" s="1">
        <v>43684</v>
      </c>
      <c r="B171" s="2">
        <v>113.55188</v>
      </c>
      <c r="C171">
        <v>1.8372763953684968E-2</v>
      </c>
    </row>
    <row r="172" spans="1:3" x14ac:dyDescent="0.3">
      <c r="A172" s="1">
        <v>43685</v>
      </c>
      <c r="B172" s="2">
        <v>115.657425</v>
      </c>
      <c r="C172">
        <v>-1.5431075928162202E-2</v>
      </c>
    </row>
    <row r="173" spans="1:3" x14ac:dyDescent="0.3">
      <c r="A173" s="1">
        <v>43686</v>
      </c>
      <c r="B173" s="2">
        <v>113.88640599999999</v>
      </c>
      <c r="C173">
        <v>-7.4575365034781202E-3</v>
      </c>
    </row>
    <row r="174" spans="1:3" x14ac:dyDescent="0.3">
      <c r="A174" s="1">
        <v>43689</v>
      </c>
      <c r="B174" s="2">
        <v>113.04025300000001</v>
      </c>
      <c r="C174">
        <v>8.14851279353054E-3</v>
      </c>
    </row>
    <row r="175" spans="1:3" x14ac:dyDescent="0.3">
      <c r="A175" s="1">
        <v>43690</v>
      </c>
      <c r="B175" s="2">
        <v>113.965126</v>
      </c>
      <c r="C175">
        <v>-1.557437206416804E-2</v>
      </c>
    </row>
    <row r="176" spans="1:3" x14ac:dyDescent="0.3">
      <c r="A176" s="1">
        <v>43691</v>
      </c>
      <c r="B176" s="2">
        <v>112.203941</v>
      </c>
      <c r="C176">
        <v>-1.2284116022488467E-3</v>
      </c>
    </row>
    <row r="177" spans="1:3" x14ac:dyDescent="0.3">
      <c r="A177" s="1">
        <v>43692</v>
      </c>
      <c r="B177" s="2">
        <v>112.066193</v>
      </c>
      <c r="C177">
        <v>2.0680741522367194E-2</v>
      </c>
    </row>
    <row r="178" spans="1:3" x14ac:dyDescent="0.3">
      <c r="A178" s="1">
        <v>43693</v>
      </c>
      <c r="B178" s="2">
        <v>114.40793600000001</v>
      </c>
      <c r="C178">
        <v>1.284000552966531E-2</v>
      </c>
    </row>
    <row r="179" spans="1:3" x14ac:dyDescent="0.3">
      <c r="A179" s="1">
        <v>43696</v>
      </c>
      <c r="B179" s="2">
        <v>115.88640599999999</v>
      </c>
      <c r="C179">
        <v>-1.5097535263956768E-2</v>
      </c>
    </row>
    <row r="180" spans="1:3" x14ac:dyDescent="0.3">
      <c r="A180" s="1">
        <v>43697</v>
      </c>
      <c r="B180" s="2">
        <v>114.14994799999999</v>
      </c>
      <c r="C180">
        <v>7.7066304891098931E-3</v>
      </c>
    </row>
    <row r="181" spans="1:3" x14ac:dyDescent="0.3">
      <c r="A181" s="1">
        <v>43698</v>
      </c>
      <c r="B181" s="2">
        <v>115.033058</v>
      </c>
      <c r="C181">
        <v>-6.1432095424569172E-3</v>
      </c>
    </row>
    <row r="182" spans="1:3" x14ac:dyDescent="0.3">
      <c r="A182" s="1">
        <v>43699</v>
      </c>
      <c r="B182" s="2">
        <v>114.328552</v>
      </c>
      <c r="C182">
        <v>-3.479378280968165E-2</v>
      </c>
    </row>
    <row r="183" spans="1:3" x14ac:dyDescent="0.3">
      <c r="A183" s="1">
        <v>43700</v>
      </c>
      <c r="B183" s="2">
        <v>110.419037</v>
      </c>
      <c r="C183">
        <v>2.7301790522005095E-2</v>
      </c>
    </row>
    <row r="184" spans="1:3" x14ac:dyDescent="0.3">
      <c r="A184" s="1">
        <v>43703</v>
      </c>
      <c r="B184" s="2">
        <v>113.47520400000001</v>
      </c>
      <c r="C184">
        <v>-2.0132575830651045E-3</v>
      </c>
    </row>
    <row r="185" spans="1:3" x14ac:dyDescent="0.3">
      <c r="A185" s="1">
        <v>43704</v>
      </c>
      <c r="B185" s="2">
        <v>113.246979</v>
      </c>
      <c r="C185">
        <v>1.9092867912262956E-2</v>
      </c>
    </row>
    <row r="186" spans="1:3" x14ac:dyDescent="0.3">
      <c r="A186" s="1">
        <v>43705</v>
      </c>
      <c r="B186" s="2">
        <v>115.429962</v>
      </c>
      <c r="C186">
        <v>1.7384386231098323E-2</v>
      </c>
    </row>
    <row r="187" spans="1:3" x14ac:dyDescent="0.3">
      <c r="A187" s="1">
        <v>43706</v>
      </c>
      <c r="B187" s="2">
        <v>117.454185</v>
      </c>
      <c r="C187">
        <v>2.4469632729868483E-3</v>
      </c>
    </row>
    <row r="188" spans="1:3" x14ac:dyDescent="0.3">
      <c r="A188" s="1">
        <v>43707</v>
      </c>
      <c r="B188" s="2">
        <v>117.74194300000001</v>
      </c>
      <c r="C188">
        <v>-1.1271843840165422E-2</v>
      </c>
    </row>
    <row r="189" spans="1:3" x14ac:dyDescent="0.3">
      <c r="A189" s="1">
        <v>43711</v>
      </c>
      <c r="B189" s="2">
        <v>116.42222599999999</v>
      </c>
      <c r="C189">
        <v>1.8074825084398671E-2</v>
      </c>
    </row>
    <row r="190" spans="1:3" x14ac:dyDescent="0.3">
      <c r="A190" s="1">
        <v>43712</v>
      </c>
      <c r="B190" s="2">
        <v>118.54567</v>
      </c>
      <c r="C190">
        <v>1.4376762128277926E-2</v>
      </c>
    </row>
    <row r="191" spans="1:3" x14ac:dyDescent="0.3">
      <c r="A191" s="1">
        <v>43713</v>
      </c>
      <c r="B191" s="2">
        <v>120.262283</v>
      </c>
      <c r="C191">
        <v>-9.2838306798784E-3</v>
      </c>
    </row>
    <row r="192" spans="1:3" x14ac:dyDescent="0.3">
      <c r="A192" s="1">
        <v>43714</v>
      </c>
      <c r="B192" s="2">
        <v>119.150955</v>
      </c>
      <c r="C192">
        <v>1.3072050721399997E-2</v>
      </c>
    </row>
    <row r="193" spans="1:3" x14ac:dyDescent="0.3">
      <c r="A193" s="1">
        <v>43717</v>
      </c>
      <c r="B193" s="2">
        <v>120.718727</v>
      </c>
      <c r="C193">
        <v>6.0641120262388912E-3</v>
      </c>
    </row>
    <row r="194" spans="1:3" x14ac:dyDescent="0.3">
      <c r="A194" s="1">
        <v>43718</v>
      </c>
      <c r="B194" s="2">
        <v>121.453003</v>
      </c>
      <c r="C194">
        <v>3.6697256618589864E-3</v>
      </c>
    </row>
    <row r="195" spans="1:3" x14ac:dyDescent="0.3">
      <c r="A195" s="1">
        <v>43719</v>
      </c>
      <c r="B195" s="2">
        <v>121.89952099999999</v>
      </c>
      <c r="C195">
        <v>-2.3634069782488111E-3</v>
      </c>
    </row>
    <row r="196" spans="1:3" x14ac:dyDescent="0.3">
      <c r="A196" s="1">
        <v>43720</v>
      </c>
      <c r="B196" s="2">
        <v>121.611763</v>
      </c>
      <c r="C196">
        <v>8.970929092485515E-4</v>
      </c>
    </row>
    <row r="197" spans="1:3" x14ac:dyDescent="0.3">
      <c r="A197" s="1">
        <v>43721</v>
      </c>
      <c r="B197" s="2">
        <v>121.72090900000001</v>
      </c>
      <c r="C197">
        <v>-8.154758461028014E-4</v>
      </c>
    </row>
    <row r="198" spans="1:3" x14ac:dyDescent="0.3">
      <c r="A198" s="1">
        <v>43724</v>
      </c>
      <c r="B198" s="2">
        <v>121.621689</v>
      </c>
      <c r="C198">
        <v>-1.4696661724220999E-3</v>
      </c>
    </row>
    <row r="199" spans="1:3" x14ac:dyDescent="0.3">
      <c r="A199" s="1">
        <v>43725</v>
      </c>
      <c r="B199" s="2">
        <v>121.443077</v>
      </c>
      <c r="C199">
        <v>-1.1091588397477132E-2</v>
      </c>
    </row>
    <row r="200" spans="1:3" x14ac:dyDescent="0.3">
      <c r="A200" s="1">
        <v>43726</v>
      </c>
      <c r="B200" s="2">
        <v>120.103523</v>
      </c>
      <c r="C200">
        <v>-1.5989663249814986E-2</v>
      </c>
    </row>
    <row r="201" spans="1:3" x14ac:dyDescent="0.3">
      <c r="A201" s="1">
        <v>43727</v>
      </c>
      <c r="B201" s="2">
        <v>118.19838</v>
      </c>
      <c r="C201">
        <v>1.3176700553564026E-2</v>
      </c>
    </row>
    <row r="202" spans="1:3" x14ac:dyDescent="0.3">
      <c r="A202" s="1">
        <v>43728</v>
      </c>
      <c r="B202" s="2">
        <v>119.76615099999999</v>
      </c>
      <c r="C202">
        <v>-1.3764512468752337E-2</v>
      </c>
    </row>
    <row r="203" spans="1:3" x14ac:dyDescent="0.3">
      <c r="A203" s="1">
        <v>43731</v>
      </c>
      <c r="B203" s="2">
        <v>118.128922</v>
      </c>
      <c r="C203">
        <v>-8.9437415058364212E-3</v>
      </c>
    </row>
    <row r="204" spans="1:3" x14ac:dyDescent="0.3">
      <c r="A204" s="1">
        <v>43732</v>
      </c>
      <c r="B204" s="2">
        <v>117.077118</v>
      </c>
      <c r="C204">
        <v>8.9437415058363501E-3</v>
      </c>
    </row>
    <row r="205" spans="1:3" x14ac:dyDescent="0.3">
      <c r="A205" s="1">
        <v>43733</v>
      </c>
      <c r="B205" s="2">
        <v>118.128922</v>
      </c>
      <c r="C205">
        <v>-5.0526605380008822E-3</v>
      </c>
    </row>
    <row r="206" spans="1:3" x14ac:dyDescent="0.3">
      <c r="A206" s="1">
        <v>43734</v>
      </c>
      <c r="B206" s="2">
        <v>117.533562</v>
      </c>
      <c r="C206">
        <v>4.2123100352736212E-3</v>
      </c>
    </row>
    <row r="207" spans="1:3" x14ac:dyDescent="0.3">
      <c r="A207" s="1">
        <v>43735</v>
      </c>
      <c r="B207" s="2">
        <v>118.02969400000001</v>
      </c>
      <c r="C207">
        <v>7.2873556477050421E-3</v>
      </c>
    </row>
    <row r="208" spans="1:3" x14ac:dyDescent="0.3">
      <c r="A208" s="1">
        <v>43738</v>
      </c>
      <c r="B208" s="2">
        <v>118.89296</v>
      </c>
      <c r="C208">
        <v>-3.4039691839473217E-2</v>
      </c>
    </row>
    <row r="209" spans="1:3" x14ac:dyDescent="0.3">
      <c r="A209" s="1">
        <v>43739</v>
      </c>
      <c r="B209" s="2">
        <v>114.91398599999999</v>
      </c>
      <c r="C209">
        <v>-4.934007423977216E-3</v>
      </c>
    </row>
    <row r="210" spans="1:3" x14ac:dyDescent="0.3">
      <c r="A210" s="1">
        <v>43740</v>
      </c>
      <c r="B210" s="2">
        <v>114.34839599999999</v>
      </c>
      <c r="C210">
        <v>5.7108955614419482E-3</v>
      </c>
    </row>
    <row r="211" spans="1:3" x14ac:dyDescent="0.3">
      <c r="A211" s="1">
        <v>43741</v>
      </c>
      <c r="B211" s="2">
        <v>115.00329600000001</v>
      </c>
      <c r="C211">
        <v>1.3625401470979674E-2</v>
      </c>
    </row>
    <row r="212" spans="1:3" x14ac:dyDescent="0.3">
      <c r="A212" s="1">
        <v>43742</v>
      </c>
      <c r="B212" s="2">
        <v>116.580986</v>
      </c>
      <c r="C212">
        <v>-1.6476807347155762E-2</v>
      </c>
    </row>
    <row r="213" spans="1:3" x14ac:dyDescent="0.3">
      <c r="A213" s="1">
        <v>43745</v>
      </c>
      <c r="B213" s="2">
        <v>114.675842</v>
      </c>
      <c r="C213">
        <v>-2.4792129128733947E-2</v>
      </c>
    </row>
    <row r="214" spans="1:3" x14ac:dyDescent="0.3">
      <c r="A214" s="1">
        <v>43746</v>
      </c>
      <c r="B214" s="2">
        <v>111.86773700000001</v>
      </c>
      <c r="C214">
        <v>9.8853530542304165E-3</v>
      </c>
    </row>
    <row r="215" spans="1:3" x14ac:dyDescent="0.3">
      <c r="A215" s="1">
        <v>43747</v>
      </c>
      <c r="B215" s="2">
        <v>112.979073</v>
      </c>
      <c r="C215">
        <v>1.2394305809998811E-2</v>
      </c>
    </row>
    <row r="216" spans="1:3" x14ac:dyDescent="0.3">
      <c r="A216" s="1">
        <v>43748</v>
      </c>
      <c r="B216" s="2">
        <v>114.38808400000001</v>
      </c>
      <c r="C216">
        <v>6.3986500350268205E-3</v>
      </c>
    </row>
    <row r="217" spans="1:3" x14ac:dyDescent="0.3">
      <c r="A217" s="1">
        <v>43749</v>
      </c>
      <c r="B217" s="2">
        <v>115.12236</v>
      </c>
      <c r="C217">
        <v>-1.2936695509379425E-3</v>
      </c>
    </row>
    <row r="218" spans="1:3" x14ac:dyDescent="0.3">
      <c r="A218" s="1">
        <v>43752</v>
      </c>
      <c r="B218" s="2">
        <v>114.97352600000001</v>
      </c>
      <c r="C218">
        <v>5.2506898595442294E-3</v>
      </c>
    </row>
    <row r="219" spans="1:3" x14ac:dyDescent="0.3">
      <c r="A219" s="1">
        <v>43753</v>
      </c>
      <c r="B219" s="2">
        <v>115.57880400000001</v>
      </c>
      <c r="C219">
        <v>8.7187461727677908E-3</v>
      </c>
    </row>
    <row r="220" spans="1:3" x14ac:dyDescent="0.3">
      <c r="A220" s="1">
        <v>43754</v>
      </c>
      <c r="B220" s="2">
        <v>116.590912</v>
      </c>
      <c r="C220">
        <v>7.5458905808349283E-3</v>
      </c>
    </row>
    <row r="221" spans="1:3" x14ac:dyDescent="0.3">
      <c r="A221" s="1">
        <v>43755</v>
      </c>
      <c r="B221" s="2">
        <v>117.47402200000001</v>
      </c>
      <c r="C221">
        <v>-8.8233236631654922E-3</v>
      </c>
    </row>
    <row r="222" spans="1:3" x14ac:dyDescent="0.3">
      <c r="A222" s="1">
        <v>43756</v>
      </c>
      <c r="B222" s="2">
        <v>116.44207</v>
      </c>
      <c r="C222">
        <v>9.9208192914126223E-3</v>
      </c>
    </row>
    <row r="223" spans="1:3" x14ac:dyDescent="0.3">
      <c r="A223" s="1">
        <v>43759</v>
      </c>
      <c r="B223" s="2">
        <v>117.60302</v>
      </c>
      <c r="C223">
        <v>-2.0629828370814902E-2</v>
      </c>
    </row>
    <row r="224" spans="1:3" x14ac:dyDescent="0.3">
      <c r="A224" s="1">
        <v>43760</v>
      </c>
      <c r="B224" s="2">
        <v>115.20174400000001</v>
      </c>
      <c r="C224">
        <v>-8.2162630552973324E-3</v>
      </c>
    </row>
    <row r="225" spans="1:3" x14ac:dyDescent="0.3">
      <c r="A225" s="1">
        <v>43761</v>
      </c>
      <c r="B225" s="2">
        <v>114.259094</v>
      </c>
      <c r="C225">
        <v>-9.9494631764386124E-3</v>
      </c>
    </row>
    <row r="226" spans="1:3" x14ac:dyDescent="0.3">
      <c r="A226" s="1">
        <v>43762</v>
      </c>
      <c r="B226" s="2">
        <v>113.127914</v>
      </c>
      <c r="C226">
        <v>1.488731738978416E-2</v>
      </c>
    </row>
    <row r="227" spans="1:3" x14ac:dyDescent="0.3">
      <c r="A227" s="1">
        <v>43763</v>
      </c>
      <c r="B227" s="2">
        <v>114.824684</v>
      </c>
      <c r="C227">
        <v>4.5695866034463602E-3</v>
      </c>
    </row>
    <row r="228" spans="1:3" x14ac:dyDescent="0.3">
      <c r="A228" s="1">
        <v>43766</v>
      </c>
      <c r="B228" s="2">
        <v>115.35058600000001</v>
      </c>
      <c r="C228">
        <v>5.6613493316887064E-3</v>
      </c>
    </row>
    <row r="229" spans="1:3" x14ac:dyDescent="0.3">
      <c r="A229" s="1">
        <v>43767</v>
      </c>
      <c r="B229" s="2">
        <v>116.005478</v>
      </c>
      <c r="C229">
        <v>-2.5665874614005138E-4</v>
      </c>
    </row>
    <row r="230" spans="1:3" x14ac:dyDescent="0.3">
      <c r="A230" s="1">
        <v>43768</v>
      </c>
      <c r="B230" s="2">
        <v>115.975708</v>
      </c>
      <c r="C230">
        <v>-1.4738471028386895E-2</v>
      </c>
    </row>
    <row r="231" spans="1:3" x14ac:dyDescent="0.3">
      <c r="A231" s="1">
        <v>43769</v>
      </c>
      <c r="B231" s="2">
        <v>114.278938</v>
      </c>
      <c r="C231">
        <v>3.6990796618333023E-2</v>
      </c>
    </row>
    <row r="232" spans="1:3" x14ac:dyDescent="0.3">
      <c r="A232" s="1">
        <v>43770</v>
      </c>
      <c r="B232" s="2">
        <v>118.585365</v>
      </c>
      <c r="C232">
        <v>2.8946815770022647E-2</v>
      </c>
    </row>
    <row r="233" spans="1:3" x14ac:dyDescent="0.3">
      <c r="A233" s="1">
        <v>43773</v>
      </c>
      <c r="B233" s="2">
        <v>122.06819900000001</v>
      </c>
      <c r="C233">
        <v>-1.3338418016330938E-2</v>
      </c>
    </row>
    <row r="234" spans="1:3" x14ac:dyDescent="0.3">
      <c r="A234" s="1">
        <v>43774</v>
      </c>
      <c r="B234" s="2">
        <v>120.450813</v>
      </c>
      <c r="C234">
        <v>4.6025943629704026E-3</v>
      </c>
    </row>
    <row r="235" spans="1:3" x14ac:dyDescent="0.3">
      <c r="A235" s="1">
        <v>43775</v>
      </c>
      <c r="B235" s="2">
        <v>121.006477</v>
      </c>
      <c r="C235">
        <v>1.2549113003631061E-2</v>
      </c>
    </row>
    <row r="236" spans="1:3" x14ac:dyDescent="0.3">
      <c r="A236" s="1">
        <v>43776</v>
      </c>
      <c r="B236" s="2">
        <v>122.534569</v>
      </c>
      <c r="C236">
        <v>6.5378246595793992E-3</v>
      </c>
    </row>
    <row r="237" spans="1:3" x14ac:dyDescent="0.3">
      <c r="A237" s="1">
        <v>43777</v>
      </c>
      <c r="B237" s="2">
        <v>123.338303</v>
      </c>
      <c r="C237">
        <v>-9.3761347438189209E-3</v>
      </c>
    </row>
    <row r="238" spans="1:3" x14ac:dyDescent="0.3">
      <c r="A238" s="1">
        <v>43780</v>
      </c>
      <c r="B238" s="2">
        <v>122.187271</v>
      </c>
      <c r="C238">
        <v>-1.0562322297034848E-3</v>
      </c>
    </row>
    <row r="239" spans="1:3" x14ac:dyDescent="0.3">
      <c r="A239" s="1">
        <v>43781</v>
      </c>
      <c r="B239" s="2">
        <v>122.05828099999999</v>
      </c>
      <c r="C239">
        <v>8.1252963672597017E-5</v>
      </c>
    </row>
    <row r="240" spans="1:3" x14ac:dyDescent="0.3">
      <c r="A240" s="1">
        <v>43782</v>
      </c>
      <c r="B240" s="2">
        <v>122.06819900000001</v>
      </c>
      <c r="C240">
        <v>8.5796171539954114E-3</v>
      </c>
    </row>
    <row r="241" spans="1:3" x14ac:dyDescent="0.3">
      <c r="A241" s="1">
        <v>43783</v>
      </c>
      <c r="B241" s="2">
        <v>123.120003</v>
      </c>
      <c r="C241">
        <v>4.9422825751316663E-3</v>
      </c>
    </row>
    <row r="242" spans="1:3" x14ac:dyDescent="0.3">
      <c r="A242" s="1">
        <v>43784</v>
      </c>
      <c r="B242" s="2">
        <v>123.730003</v>
      </c>
      <c r="C242">
        <v>-7.7891347154157541E-3</v>
      </c>
    </row>
    <row r="243" spans="1:3" x14ac:dyDescent="0.3">
      <c r="A243" s="1">
        <v>43787</v>
      </c>
      <c r="B243" s="2">
        <v>122.769997</v>
      </c>
      <c r="C243">
        <v>-1.8331005405911805E-2</v>
      </c>
    </row>
    <row r="244" spans="1:3" x14ac:dyDescent="0.3">
      <c r="A244" s="1">
        <v>43788</v>
      </c>
      <c r="B244" s="2">
        <v>120.540001</v>
      </c>
      <c r="C244">
        <v>-1.2774116351240572E-2</v>
      </c>
    </row>
    <row r="245" spans="1:3" x14ac:dyDescent="0.3">
      <c r="A245" s="1">
        <v>43789</v>
      </c>
      <c r="B245" s="2">
        <v>119.010002</v>
      </c>
      <c r="C245">
        <v>4.2761562844465164E-3</v>
      </c>
    </row>
    <row r="246" spans="1:3" x14ac:dyDescent="0.3">
      <c r="A246" s="1">
        <v>43790</v>
      </c>
      <c r="B246" s="2">
        <v>119.519997</v>
      </c>
      <c r="C246">
        <v>-1.6747366375575992E-3</v>
      </c>
    </row>
    <row r="247" spans="1:3" x14ac:dyDescent="0.3">
      <c r="A247" s="1">
        <v>43791</v>
      </c>
      <c r="B247" s="2">
        <v>119.32</v>
      </c>
      <c r="C247">
        <v>8.1796882717410264E-3</v>
      </c>
    </row>
    <row r="248" spans="1:3" x14ac:dyDescent="0.3">
      <c r="A248" s="1">
        <v>43794</v>
      </c>
      <c r="B248" s="2">
        <v>120.300003</v>
      </c>
      <c r="C248">
        <v>7.4534009644497022E-3</v>
      </c>
    </row>
    <row r="249" spans="1:3" x14ac:dyDescent="0.3">
      <c r="A249" s="1">
        <v>43795</v>
      </c>
      <c r="B249" s="2">
        <v>121.199997</v>
      </c>
      <c r="C249">
        <v>-1.103420163661766E-2</v>
      </c>
    </row>
    <row r="250" spans="1:3" x14ac:dyDescent="0.3">
      <c r="A250" s="1">
        <v>43796</v>
      </c>
      <c r="B250" s="2">
        <v>119.870003</v>
      </c>
      <c r="C250">
        <v>-1.1686144609920873E-3</v>
      </c>
    </row>
    <row r="251" spans="1:3" x14ac:dyDescent="0.3">
      <c r="A251" s="1">
        <v>43798</v>
      </c>
      <c r="B251" s="2">
        <v>119.730003</v>
      </c>
      <c r="C25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Loops_ex</vt:lpstr>
      <vt:lpstr>UPS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DESOKY Mohamed</dc:creator>
  <cp:lastModifiedBy>Mickael Bertolla</cp:lastModifiedBy>
  <dcterms:created xsi:type="dcterms:W3CDTF">2016-09-07T14:07:07Z</dcterms:created>
  <dcterms:modified xsi:type="dcterms:W3CDTF">2021-09-20T17:53:39Z</dcterms:modified>
</cp:coreProperties>
</file>